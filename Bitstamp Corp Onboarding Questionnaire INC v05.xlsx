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codeName="ThisWorkbook" defaultThemeVersion="166925"/>
  <mc:AlternateContent xmlns:mc="http://schemas.openxmlformats.org/markup-compatibility/2006">
    <mc:Choice Requires="x15">
      <x15ac:absPath xmlns:x15ac="http://schemas.microsoft.com/office/spreadsheetml/2010/11/ac" url="S:\Account Opening\Corporate Onboarding\Verification procedure documentation\"/>
    </mc:Choice>
  </mc:AlternateContent>
  <xr:revisionPtr revIDLastSave="0" documentId="13_ncr:1_{72190EA1-C35C-47A0-9FE7-2F2B0D0F6B84}" xr6:coauthVersionLast="47" xr6:coauthVersionMax="47" xr10:uidLastSave="{00000000-0000-0000-0000-000000000000}"/>
  <workbookProtection workbookAlgorithmName="SHA-512" workbookHashValue="hqE+dYUgrSyfhRtN9EJN1Qu4bnPwKPfQjc70RKpUPp+7f4fFhPU+dc98d8UewG5+PbZ+XZJImxLpQpHIQdB4NQ==" workbookSaltValue="8iCTA7rZLqjZoxTpKnyP+g==" workbookSpinCount="100000" lockStructure="1"/>
  <bookViews>
    <workbookView xWindow="-49890" yWindow="4245" windowWidth="17730" windowHeight="11955" xr2:uid="{01E2205E-A890-4287-BC77-3765149E03EE}"/>
  </bookViews>
  <sheets>
    <sheet name="Introduction" sheetId="3" r:id="rId1"/>
    <sheet name="Company Info, Intended Activity" sheetId="1" r:id="rId2"/>
    <sheet name="Ownership, SOF" sheetId="19" r:id="rId3"/>
    <sheet name="Representatives and Acc. Users" sheetId="20" r:id="rId4"/>
    <sheet name="Bank Accounts" sheetId="11" r:id="rId5"/>
    <sheet name="Country List" sheetId="7" state="hidden" r:id="rId6"/>
    <sheet name="US State List" sheetId="14" state="hidden" r:id="rId7"/>
    <sheet name="Nationality List" sheetId="12" state="hidden" r:id="rId8"/>
    <sheet name="FieldValidation" sheetId="8" state="hidden" r:id="rId9"/>
    <sheet name="Sanctions and AML Information" sheetId="6" r:id="rId10"/>
    <sheet name="Entity and Documents Def" sheetId="24" state="hidden" r:id="rId11"/>
    <sheet name="AML Policy" sheetId="4" r:id="rId12"/>
    <sheet name="Export" sheetId="13" r:id="rId13"/>
  </sheets>
  <definedNames>
    <definedName name="CountryRiskParamsRange">#REF!</definedName>
    <definedName name="GE">FieldValidation!$E$60</definedName>
    <definedName name="ICO">FieldValidation!$E$84</definedName>
    <definedName name="KPS">FieldValidation!$E$61</definedName>
    <definedName name="LEGALL">FieldValidation!$E$19:$E$30</definedName>
    <definedName name="LEGGE">FieldValidation!$E$32</definedName>
    <definedName name="LEGTRUST">FieldValidation!$E$31</definedName>
    <definedName name="MCNO">FieldValidation!$E$83</definedName>
    <definedName name="MSBMST">FieldValidation!$E$71:$E$82</definedName>
    <definedName name="OC">FieldValidation!$E$38:$E$57</definedName>
    <definedName name="PIF">FieldValidation!$E$62:$E$65</definedName>
    <definedName name="PIV">FieldValidation!$E$58</definedName>
    <definedName name="PSP">FieldValidation!$E$34:$E$37</definedName>
    <definedName name="PTC">FieldValidation!$E$69</definedName>
    <definedName name="PTF">FieldValidation!$E$59</definedName>
    <definedName name="RE">FieldValidation!$E$66:$E$68</definedName>
    <definedName name="RiskCompanyValueRange">#REF!</definedName>
    <definedName name="RiskIntAccUsageRange">#REF!</definedName>
    <definedName name="RiskParamsRange">#REF!</definedName>
    <definedName name="TEONP">FieldValidation!$E$70</definedName>
    <definedName name="TRUST">FieldValidation!$E$85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8" i="13" l="1"/>
  <c r="B68" i="13"/>
  <c r="C67" i="13"/>
  <c r="B67" i="13"/>
  <c r="D3" i="24"/>
  <c r="G84" i="8"/>
  <c r="G83" i="8"/>
  <c r="G71" i="8"/>
  <c r="G70" i="8"/>
  <c r="G69" i="8"/>
  <c r="G66" i="8"/>
  <c r="G62" i="8"/>
  <c r="G61" i="8"/>
  <c r="G60" i="8"/>
  <c r="G59" i="8"/>
  <c r="G58" i="8"/>
  <c r="G38" i="8"/>
  <c r="G34" i="8"/>
  <c r="G85" i="8"/>
  <c r="H85" i="8"/>
  <c r="H83" i="8"/>
  <c r="H70" i="8"/>
  <c r="H69" i="8"/>
  <c r="H66" i="8"/>
  <c r="H62" i="8"/>
  <c r="H61" i="8"/>
  <c r="H60" i="8"/>
  <c r="H59" i="8"/>
  <c r="H58" i="8"/>
  <c r="H38" i="8"/>
  <c r="H34" i="8"/>
  <c r="H71" i="8"/>
  <c r="D72" i="8"/>
  <c r="D73" i="8" s="1"/>
  <c r="D74" i="8" s="1"/>
  <c r="D75" i="8" s="1"/>
  <c r="D76" i="8" s="1"/>
  <c r="D77" i="8" s="1"/>
  <c r="D78" i="8" s="1"/>
  <c r="D79" i="8" s="1"/>
  <c r="D80" i="8" s="1"/>
  <c r="D81" i="8" s="1"/>
  <c r="D82" i="8" s="1"/>
  <c r="G82" i="8" s="1"/>
  <c r="D67" i="8"/>
  <c r="D68" i="8" s="1"/>
  <c r="H68" i="8" s="1"/>
  <c r="D63" i="8"/>
  <c r="D64" i="8" s="1"/>
  <c r="D65" i="8" s="1"/>
  <c r="H65" i="8" s="1"/>
  <c r="D39" i="8"/>
  <c r="D40" i="8" s="1"/>
  <c r="D35" i="8"/>
  <c r="H35" i="8" s="1"/>
  <c r="G39" i="8" l="1"/>
  <c r="G65" i="8"/>
  <c r="G64" i="8"/>
  <c r="H63" i="8"/>
  <c r="H64" i="8"/>
  <c r="H39" i="8"/>
  <c r="G35" i="8"/>
  <c r="G63" i="8"/>
  <c r="D41" i="8"/>
  <c r="G40" i="8"/>
  <c r="H40" i="8"/>
  <c r="G68" i="8"/>
  <c r="G76" i="8"/>
  <c r="G80" i="8"/>
  <c r="G81" i="8"/>
  <c r="H78" i="8"/>
  <c r="H79" i="8"/>
  <c r="G77" i="8"/>
  <c r="D36" i="8"/>
  <c r="H72" i="8"/>
  <c r="H80" i="8"/>
  <c r="G78" i="8"/>
  <c r="H73" i="8"/>
  <c r="H81" i="8"/>
  <c r="G79" i="8"/>
  <c r="H74" i="8"/>
  <c r="H82" i="8"/>
  <c r="G72" i="8"/>
  <c r="H75" i="8"/>
  <c r="G73" i="8"/>
  <c r="H76" i="8"/>
  <c r="H67" i="8"/>
  <c r="G74" i="8"/>
  <c r="H77" i="8"/>
  <c r="G67" i="8"/>
  <c r="G75" i="8"/>
  <c r="H22" i="1"/>
  <c r="H25" i="1"/>
  <c r="E85" i="8"/>
  <c r="N106" i="13"/>
  <c r="M106" i="13"/>
  <c r="L106" i="13"/>
  <c r="K106" i="13"/>
  <c r="J106" i="13"/>
  <c r="I106" i="13"/>
  <c r="H106" i="13"/>
  <c r="G106" i="13"/>
  <c r="F106" i="13"/>
  <c r="E106" i="13"/>
  <c r="D106" i="13"/>
  <c r="C106" i="13"/>
  <c r="N105" i="13"/>
  <c r="M105" i="13"/>
  <c r="L105" i="13"/>
  <c r="K105" i="13"/>
  <c r="J105" i="13"/>
  <c r="I105" i="13"/>
  <c r="H105" i="13"/>
  <c r="G105" i="13"/>
  <c r="F105" i="13"/>
  <c r="E105" i="13"/>
  <c r="D105" i="13"/>
  <c r="C105" i="13"/>
  <c r="N104" i="13"/>
  <c r="M104" i="13"/>
  <c r="L104" i="13"/>
  <c r="K104" i="13"/>
  <c r="J104" i="13"/>
  <c r="I104" i="13"/>
  <c r="H104" i="13"/>
  <c r="G104" i="13"/>
  <c r="F104" i="13"/>
  <c r="E104" i="13"/>
  <c r="D104" i="13"/>
  <c r="C104" i="13"/>
  <c r="N103" i="13"/>
  <c r="M103" i="13"/>
  <c r="L103" i="13"/>
  <c r="K103" i="13"/>
  <c r="J103" i="13"/>
  <c r="I103" i="13"/>
  <c r="H103" i="13"/>
  <c r="G103" i="13"/>
  <c r="F103" i="13"/>
  <c r="E103" i="13"/>
  <c r="D103" i="13"/>
  <c r="C103" i="13"/>
  <c r="N102" i="13"/>
  <c r="M102" i="13"/>
  <c r="L102" i="13"/>
  <c r="K102" i="13"/>
  <c r="J102" i="13"/>
  <c r="I102" i="13"/>
  <c r="H102" i="13"/>
  <c r="G102" i="13"/>
  <c r="F102" i="13"/>
  <c r="E102" i="13"/>
  <c r="D102" i="13"/>
  <c r="C102" i="13"/>
  <c r="N101" i="13"/>
  <c r="M101" i="13"/>
  <c r="L101" i="13"/>
  <c r="K101" i="13"/>
  <c r="J101" i="13"/>
  <c r="I101" i="13"/>
  <c r="H101" i="13"/>
  <c r="G101" i="13"/>
  <c r="F101" i="13"/>
  <c r="E101" i="13"/>
  <c r="D101" i="13"/>
  <c r="C101" i="13"/>
  <c r="N100" i="13"/>
  <c r="M100" i="13"/>
  <c r="L100" i="13"/>
  <c r="K100" i="13"/>
  <c r="J100" i="13"/>
  <c r="I100" i="13"/>
  <c r="H100" i="13"/>
  <c r="G100" i="13"/>
  <c r="F100" i="13"/>
  <c r="E100" i="13"/>
  <c r="D100" i="13"/>
  <c r="C100" i="13"/>
  <c r="N99" i="13"/>
  <c r="M99" i="13"/>
  <c r="L99" i="13"/>
  <c r="K99" i="13"/>
  <c r="J99" i="13"/>
  <c r="I99" i="13"/>
  <c r="H99" i="13"/>
  <c r="G99" i="13"/>
  <c r="F99" i="13"/>
  <c r="E99" i="13"/>
  <c r="D99" i="13"/>
  <c r="C99" i="13"/>
  <c r="N98" i="13"/>
  <c r="M98" i="13"/>
  <c r="L98" i="13"/>
  <c r="K98" i="13"/>
  <c r="J98" i="13"/>
  <c r="I98" i="13"/>
  <c r="H98" i="13"/>
  <c r="G98" i="13"/>
  <c r="F98" i="13"/>
  <c r="E98" i="13"/>
  <c r="D98" i="13"/>
  <c r="C98" i="13"/>
  <c r="N97" i="13"/>
  <c r="M97" i="13"/>
  <c r="L97" i="13"/>
  <c r="K97" i="13"/>
  <c r="J97" i="13"/>
  <c r="I97" i="13"/>
  <c r="H97" i="13"/>
  <c r="G97" i="13"/>
  <c r="F97" i="13"/>
  <c r="E97" i="13"/>
  <c r="D97" i="13"/>
  <c r="C97" i="13"/>
  <c r="N96" i="13"/>
  <c r="M96" i="13"/>
  <c r="L96" i="13"/>
  <c r="K96" i="13"/>
  <c r="J96" i="13"/>
  <c r="I96" i="13"/>
  <c r="H96" i="13"/>
  <c r="G96" i="13"/>
  <c r="F96" i="13"/>
  <c r="E96" i="13"/>
  <c r="D96" i="13"/>
  <c r="C96" i="13"/>
  <c r="J93" i="13"/>
  <c r="I93" i="13"/>
  <c r="H93" i="13"/>
  <c r="G93" i="13"/>
  <c r="F93" i="13"/>
  <c r="E93" i="13"/>
  <c r="D93" i="13"/>
  <c r="C93" i="13"/>
  <c r="J92" i="13"/>
  <c r="I92" i="13"/>
  <c r="H92" i="13"/>
  <c r="G92" i="13"/>
  <c r="F92" i="13"/>
  <c r="E92" i="13"/>
  <c r="D92" i="13"/>
  <c r="C92" i="13"/>
  <c r="J91" i="13"/>
  <c r="I91" i="13"/>
  <c r="H91" i="13"/>
  <c r="G91" i="13"/>
  <c r="F91" i="13"/>
  <c r="E91" i="13"/>
  <c r="D91" i="13"/>
  <c r="C91" i="13"/>
  <c r="J90" i="13"/>
  <c r="I90" i="13"/>
  <c r="H90" i="13"/>
  <c r="G90" i="13"/>
  <c r="F90" i="13"/>
  <c r="E90" i="13"/>
  <c r="D90" i="13"/>
  <c r="C90" i="13"/>
  <c r="J89" i="13"/>
  <c r="I89" i="13"/>
  <c r="H89" i="13"/>
  <c r="G89" i="13"/>
  <c r="F89" i="13"/>
  <c r="E89" i="13"/>
  <c r="D89" i="13"/>
  <c r="C89" i="13"/>
  <c r="J88" i="13"/>
  <c r="I88" i="13"/>
  <c r="H88" i="13"/>
  <c r="G88" i="13"/>
  <c r="F88" i="13"/>
  <c r="E88" i="13"/>
  <c r="D88" i="13"/>
  <c r="C88" i="13"/>
  <c r="J87" i="13"/>
  <c r="I87" i="13"/>
  <c r="H87" i="13"/>
  <c r="G87" i="13"/>
  <c r="F87" i="13"/>
  <c r="E87" i="13"/>
  <c r="D87" i="13"/>
  <c r="C87" i="13"/>
  <c r="J86" i="13"/>
  <c r="I86" i="13"/>
  <c r="H86" i="13"/>
  <c r="G86" i="13"/>
  <c r="F86" i="13"/>
  <c r="E86" i="13"/>
  <c r="D86" i="13"/>
  <c r="C86" i="13"/>
  <c r="J85" i="13"/>
  <c r="I85" i="13"/>
  <c r="H85" i="13"/>
  <c r="G85" i="13"/>
  <c r="F85" i="13"/>
  <c r="E85" i="13"/>
  <c r="D85" i="13"/>
  <c r="C85" i="13"/>
  <c r="J84" i="13"/>
  <c r="I84" i="13"/>
  <c r="H84" i="13"/>
  <c r="G84" i="13"/>
  <c r="F84" i="13"/>
  <c r="E84" i="13"/>
  <c r="D84" i="13"/>
  <c r="C84" i="13"/>
  <c r="N81" i="13"/>
  <c r="M81" i="13"/>
  <c r="L81" i="13"/>
  <c r="K81" i="13"/>
  <c r="J81" i="13"/>
  <c r="I81" i="13"/>
  <c r="H81" i="13"/>
  <c r="G81" i="13"/>
  <c r="F81" i="13"/>
  <c r="E81" i="13"/>
  <c r="D81" i="13"/>
  <c r="C81" i="13"/>
  <c r="N80" i="13"/>
  <c r="M80" i="13"/>
  <c r="L80" i="13"/>
  <c r="K80" i="13"/>
  <c r="J80" i="13"/>
  <c r="I80" i="13"/>
  <c r="H80" i="13"/>
  <c r="G80" i="13"/>
  <c r="F80" i="13"/>
  <c r="E80" i="13"/>
  <c r="D80" i="13"/>
  <c r="C80" i="13"/>
  <c r="N79" i="13"/>
  <c r="M79" i="13"/>
  <c r="L79" i="13"/>
  <c r="K79" i="13"/>
  <c r="J79" i="13"/>
  <c r="I79" i="13"/>
  <c r="H79" i="13"/>
  <c r="G79" i="13"/>
  <c r="F79" i="13"/>
  <c r="E79" i="13"/>
  <c r="D79" i="13"/>
  <c r="C79" i="13"/>
  <c r="N78" i="13"/>
  <c r="M78" i="13"/>
  <c r="L78" i="13"/>
  <c r="K78" i="13"/>
  <c r="J78" i="13"/>
  <c r="I78" i="13"/>
  <c r="H78" i="13"/>
  <c r="G78" i="13"/>
  <c r="F78" i="13"/>
  <c r="E78" i="13"/>
  <c r="D78" i="13"/>
  <c r="C78" i="13"/>
  <c r="N77" i="13"/>
  <c r="M77" i="13"/>
  <c r="L77" i="13"/>
  <c r="K77" i="13"/>
  <c r="J77" i="13"/>
  <c r="I77" i="13"/>
  <c r="H77" i="13"/>
  <c r="G77" i="13"/>
  <c r="F77" i="13"/>
  <c r="E77" i="13"/>
  <c r="D77" i="13"/>
  <c r="C77" i="13"/>
  <c r="N76" i="13"/>
  <c r="M76" i="13"/>
  <c r="L76" i="13"/>
  <c r="K76" i="13"/>
  <c r="J76" i="13"/>
  <c r="I76" i="13"/>
  <c r="H76" i="13"/>
  <c r="G76" i="13"/>
  <c r="F76" i="13"/>
  <c r="E76" i="13"/>
  <c r="D76" i="13"/>
  <c r="C76" i="13"/>
  <c r="N75" i="13"/>
  <c r="M75" i="13"/>
  <c r="L75" i="13"/>
  <c r="K75" i="13"/>
  <c r="J75" i="13"/>
  <c r="I75" i="13"/>
  <c r="H75" i="13"/>
  <c r="G75" i="13"/>
  <c r="F75" i="13"/>
  <c r="E75" i="13"/>
  <c r="D75" i="13"/>
  <c r="C75" i="13"/>
  <c r="N74" i="13"/>
  <c r="M74" i="13"/>
  <c r="L74" i="13"/>
  <c r="K74" i="13"/>
  <c r="J74" i="13"/>
  <c r="I74" i="13"/>
  <c r="H74" i="13"/>
  <c r="G74" i="13"/>
  <c r="F74" i="13"/>
  <c r="E74" i="13"/>
  <c r="D74" i="13"/>
  <c r="C74" i="13"/>
  <c r="N73" i="13"/>
  <c r="M73" i="13"/>
  <c r="L73" i="13"/>
  <c r="K73" i="13"/>
  <c r="J73" i="13"/>
  <c r="I73" i="13"/>
  <c r="H73" i="13"/>
  <c r="G73" i="13"/>
  <c r="F73" i="13"/>
  <c r="E73" i="13"/>
  <c r="D73" i="13"/>
  <c r="C73" i="13"/>
  <c r="N72" i="13"/>
  <c r="M72" i="13"/>
  <c r="L72" i="13"/>
  <c r="K72" i="13"/>
  <c r="J72" i="13"/>
  <c r="I72" i="13"/>
  <c r="H72" i="13"/>
  <c r="G72" i="13"/>
  <c r="F72" i="13"/>
  <c r="E72" i="13"/>
  <c r="D72" i="13"/>
  <c r="C72" i="13"/>
  <c r="N95" i="13"/>
  <c r="M95" i="13"/>
  <c r="L95" i="13"/>
  <c r="K95" i="13"/>
  <c r="J95" i="13"/>
  <c r="I95" i="13"/>
  <c r="H95" i="13"/>
  <c r="G95" i="13"/>
  <c r="F95" i="13"/>
  <c r="E95" i="13"/>
  <c r="D95" i="13"/>
  <c r="C95" i="13"/>
  <c r="J83" i="13"/>
  <c r="I83" i="13"/>
  <c r="H83" i="13"/>
  <c r="G83" i="13"/>
  <c r="F83" i="13"/>
  <c r="E83" i="13"/>
  <c r="D83" i="13"/>
  <c r="C83" i="13"/>
  <c r="N71" i="13"/>
  <c r="M71" i="13"/>
  <c r="L71" i="13"/>
  <c r="K71" i="13"/>
  <c r="J71" i="13"/>
  <c r="I71" i="13"/>
  <c r="H71" i="13"/>
  <c r="G71" i="13"/>
  <c r="F71" i="13"/>
  <c r="E71" i="13"/>
  <c r="D71" i="13"/>
  <c r="C71" i="13"/>
  <c r="T95" i="13"/>
  <c r="C34" i="13"/>
  <c r="B34" i="13"/>
  <c r="C31" i="13"/>
  <c r="B31" i="13"/>
  <c r="C30" i="13"/>
  <c r="B30" i="13"/>
  <c r="C29" i="13"/>
  <c r="B29" i="13"/>
  <c r="C28" i="13"/>
  <c r="B28" i="13"/>
  <c r="C27" i="13"/>
  <c r="B27" i="13"/>
  <c r="C25" i="13"/>
  <c r="B25" i="13"/>
  <c r="H36" i="8" l="1"/>
  <c r="D37" i="8"/>
  <c r="G36" i="8"/>
  <c r="D42" i="8"/>
  <c r="G41" i="8"/>
  <c r="H41" i="8"/>
  <c r="E25" i="1"/>
  <c r="C4" i="24"/>
  <c r="C3" i="24"/>
  <c r="B34" i="8"/>
  <c r="E84" i="8"/>
  <c r="E83" i="8"/>
  <c r="E70" i="8"/>
  <c r="E69" i="8"/>
  <c r="E61" i="8"/>
  <c r="E60" i="8"/>
  <c r="E59" i="8"/>
  <c r="E58" i="8"/>
  <c r="C19" i="8"/>
  <c r="C34" i="8"/>
  <c r="D7" i="24"/>
  <c r="B7" i="24"/>
  <c r="D4" i="24" l="1"/>
  <c r="B4" i="19" s="1"/>
  <c r="D5" i="24"/>
  <c r="F5" i="24" s="1"/>
  <c r="E26" i="1" s="1"/>
  <c r="H84" i="8"/>
  <c r="F7" i="24"/>
  <c r="E11" i="1" s="1"/>
  <c r="D43" i="8"/>
  <c r="G42" i="8"/>
  <c r="H42" i="8"/>
  <c r="G37" i="8"/>
  <c r="H37" i="8"/>
  <c r="D44" i="8" l="1"/>
  <c r="G43" i="8"/>
  <c r="H43" i="8"/>
  <c r="B4" i="20"/>
  <c r="D6" i="24"/>
  <c r="D8" i="24" s="1"/>
  <c r="B6" i="20" l="1"/>
  <c r="A54" i="1"/>
  <c r="A60" i="1"/>
  <c r="A2" i="20"/>
  <c r="D45" i="8"/>
  <c r="H44" i="8"/>
  <c r="G44" i="8"/>
  <c r="A2" i="19"/>
  <c r="B6" i="19"/>
  <c r="C35" i="8"/>
  <c r="C36" i="8" s="1"/>
  <c r="C37" i="8" s="1"/>
  <c r="C38" i="8" s="1"/>
  <c r="B35" i="8"/>
  <c r="B36" i="8" s="1"/>
  <c r="B37" i="8" s="1"/>
  <c r="B38" i="8" s="1"/>
  <c r="B39" i="8" s="1"/>
  <c r="B40" i="8" s="1"/>
  <c r="B41" i="8" s="1"/>
  <c r="B42" i="8" s="1"/>
  <c r="B43" i="8" s="1"/>
  <c r="B44" i="8" s="1"/>
  <c r="B45" i="8" s="1"/>
  <c r="B46" i="8" s="1"/>
  <c r="B47" i="8" s="1"/>
  <c r="B48" i="8" s="1"/>
  <c r="B49" i="8" s="1"/>
  <c r="B50" i="8" s="1"/>
  <c r="B51" i="8" s="1"/>
  <c r="B52" i="8" s="1"/>
  <c r="B53" i="8" s="1"/>
  <c r="B54" i="8" s="1"/>
  <c r="B55" i="8" s="1"/>
  <c r="B56" i="8" s="1"/>
  <c r="B57" i="8" s="1"/>
  <c r="B58" i="8" s="1"/>
  <c r="B59" i="8" s="1"/>
  <c r="B60" i="8" s="1"/>
  <c r="B61" i="8" s="1"/>
  <c r="B62" i="8" s="1"/>
  <c r="B63" i="8" s="1"/>
  <c r="B64" i="8" s="1"/>
  <c r="B65" i="8" s="1"/>
  <c r="B66" i="8" s="1"/>
  <c r="B67" i="8" s="1"/>
  <c r="B68" i="8" s="1"/>
  <c r="B69" i="8" s="1"/>
  <c r="B70" i="8" s="1"/>
  <c r="B71" i="8" s="1"/>
  <c r="B72" i="8" s="1"/>
  <c r="B73" i="8" s="1"/>
  <c r="B74" i="8" s="1"/>
  <c r="B75" i="8" s="1"/>
  <c r="B76" i="8" s="1"/>
  <c r="B77" i="8" s="1"/>
  <c r="B78" i="8" s="1"/>
  <c r="B79" i="8" s="1"/>
  <c r="B80" i="8" s="1"/>
  <c r="B81" i="8" s="1"/>
  <c r="B82" i="8" s="1"/>
  <c r="B83" i="8" s="1"/>
  <c r="B84" i="8" s="1"/>
  <c r="B85" i="8" s="1"/>
  <c r="D46" i="8" l="1"/>
  <c r="G45" i="8"/>
  <c r="H45" i="8"/>
  <c r="C39" i="8"/>
  <c r="C40" i="8" s="1"/>
  <c r="C41" i="8" s="1"/>
  <c r="C42" i="8" s="1"/>
  <c r="C43" i="8" s="1"/>
  <c r="C44" i="8" s="1"/>
  <c r="C45" i="8" s="1"/>
  <c r="C46" i="8" s="1"/>
  <c r="C47" i="8" s="1"/>
  <c r="C48" i="8" s="1"/>
  <c r="C49" i="8" s="1"/>
  <c r="C50" i="8" s="1"/>
  <c r="C51" i="8" s="1"/>
  <c r="C52" i="8" s="1"/>
  <c r="C53" i="8" s="1"/>
  <c r="C54" i="8" s="1"/>
  <c r="C55" i="8" s="1"/>
  <c r="C56" i="8" s="1"/>
  <c r="C57" i="8" s="1"/>
  <c r="C58" i="8" s="1"/>
  <c r="C59" i="8" s="1"/>
  <c r="C60" i="8" s="1"/>
  <c r="C61" i="8" s="1"/>
  <c r="C62" i="8" s="1"/>
  <c r="C63" i="8" s="1"/>
  <c r="C64" i="8" s="1"/>
  <c r="C65" i="8" s="1"/>
  <c r="C66" i="8" s="1"/>
  <c r="C67" i="8" s="1"/>
  <c r="C68" i="8" s="1"/>
  <c r="C69" i="8" s="1"/>
  <c r="C70" i="8" s="1"/>
  <c r="C71" i="8" s="1"/>
  <c r="C72" i="8" s="1"/>
  <c r="C73" i="8" s="1"/>
  <c r="C74" i="8" s="1"/>
  <c r="C75" i="8" s="1"/>
  <c r="C76" i="8" s="1"/>
  <c r="C77" i="8" s="1"/>
  <c r="C78" i="8" s="1"/>
  <c r="C79" i="8" s="1"/>
  <c r="C80" i="8" s="1"/>
  <c r="C81" i="8" s="1"/>
  <c r="C82" i="8" s="1"/>
  <c r="C83" i="8" s="1"/>
  <c r="C84" i="8" s="1"/>
  <c r="C85" i="8" s="1"/>
  <c r="C12" i="8"/>
  <c r="C13" i="8" s="1"/>
  <c r="C14" i="8" s="1"/>
  <c r="B12" i="8"/>
  <c r="B13" i="8" s="1"/>
  <c r="B14" i="8" s="1"/>
  <c r="C87" i="8"/>
  <c r="B87" i="8"/>
  <c r="Q6" i="19"/>
  <c r="R6" i="19"/>
  <c r="B19" i="8"/>
  <c r="R4" i="20"/>
  <c r="Q4" i="20"/>
  <c r="G108" i="13"/>
  <c r="F108" i="13"/>
  <c r="E108" i="13"/>
  <c r="D108" i="13"/>
  <c r="C108" i="13"/>
  <c r="C24" i="13"/>
  <c r="B24" i="13"/>
  <c r="C21" i="13"/>
  <c r="B21" i="13"/>
  <c r="D47" i="8" l="1"/>
  <c r="G46" i="8"/>
  <c r="H46" i="8"/>
  <c r="B15" i="8"/>
  <c r="B17" i="8" s="1"/>
  <c r="B16" i="8"/>
  <c r="C15" i="8"/>
  <c r="C17" i="8" s="1"/>
  <c r="C16" i="8"/>
  <c r="B22" i="13"/>
  <c r="B19" i="13"/>
  <c r="C22" i="13"/>
  <c r="C19" i="13"/>
  <c r="D48" i="8" l="1"/>
  <c r="G47" i="8"/>
  <c r="H47" i="8"/>
  <c r="A91" i="8"/>
  <c r="A92" i="8" s="1"/>
  <c r="A93" i="8" s="1"/>
  <c r="A94" i="8" s="1"/>
  <c r="A95" i="8" s="1"/>
  <c r="A96" i="8" s="1"/>
  <c r="A97" i="8" s="1"/>
  <c r="A98" i="8" s="1"/>
  <c r="A99" i="8" s="1"/>
  <c r="A100" i="8" s="1"/>
  <c r="A101" i="8" s="1"/>
  <c r="A102" i="8" s="1"/>
  <c r="A103" i="8" s="1"/>
  <c r="A104" i="8" s="1"/>
  <c r="A105" i="8" s="1"/>
  <c r="A106" i="8" s="1"/>
  <c r="A107" i="8" s="1"/>
  <c r="A108" i="8" s="1"/>
  <c r="A109" i="8" s="1"/>
  <c r="A110" i="8" s="1"/>
  <c r="A111" i="8" s="1"/>
  <c r="A112" i="8" s="1"/>
  <c r="A113" i="8" s="1"/>
  <c r="A114" i="8" s="1"/>
  <c r="A115" i="8" s="1"/>
  <c r="A116" i="8" s="1"/>
  <c r="A117" i="8" s="1"/>
  <c r="A118" i="8" s="1"/>
  <c r="A119" i="8" s="1"/>
  <c r="A120" i="8" s="1"/>
  <c r="A121" i="8" s="1"/>
  <c r="A122" i="8" s="1"/>
  <c r="A123" i="8" s="1"/>
  <c r="A124" i="8" s="1"/>
  <c r="A125" i="8" s="1"/>
  <c r="A126" i="8" s="1"/>
  <c r="A127" i="8" s="1"/>
  <c r="A128" i="8" s="1"/>
  <c r="A129" i="8" s="1"/>
  <c r="A130" i="8" s="1"/>
  <c r="A131" i="8" s="1"/>
  <c r="A132" i="8" s="1"/>
  <c r="A133" i="8" s="1"/>
  <c r="A134" i="8" s="1"/>
  <c r="A135" i="8" s="1"/>
  <c r="A136" i="8" s="1"/>
  <c r="A137" i="8" s="1"/>
  <c r="A138" i="8" s="1"/>
  <c r="A139" i="8" s="1"/>
  <c r="A140" i="8" s="1"/>
  <c r="A141" i="8" s="1"/>
  <c r="A142" i="8" s="1"/>
  <c r="A143" i="8" s="1"/>
  <c r="A144" i="8" s="1"/>
  <c r="A145" i="8" s="1"/>
  <c r="A146" i="8" s="1"/>
  <c r="A147" i="8" s="1"/>
  <c r="A148" i="8" s="1"/>
  <c r="A149" i="8" s="1"/>
  <c r="A150" i="8" s="1"/>
  <c r="A151" i="8" s="1"/>
  <c r="A152" i="8" s="1"/>
  <c r="A153" i="8" s="1"/>
  <c r="A154" i="8" s="1"/>
  <c r="A155" i="8" s="1"/>
  <c r="A156" i="8" s="1"/>
  <c r="A157" i="8" s="1"/>
  <c r="A158" i="8" s="1"/>
  <c r="A159" i="8" s="1"/>
  <c r="A160" i="8" s="1"/>
  <c r="A161" i="8" s="1"/>
  <c r="A162" i="8" s="1"/>
  <c r="A163" i="8" s="1"/>
  <c r="A164" i="8" s="1"/>
  <c r="A165" i="8" s="1"/>
  <c r="E9" i="1"/>
  <c r="D49" i="8" l="1"/>
  <c r="G48" i="8"/>
  <c r="H48" i="8"/>
  <c r="E2" i="1"/>
  <c r="D50" i="8" l="1"/>
  <c r="G49" i="8"/>
  <c r="H49" i="8"/>
  <c r="B43" i="13"/>
  <c r="D51" i="8" l="1"/>
  <c r="G50" i="8"/>
  <c r="H50" i="8"/>
  <c r="E9" i="8"/>
  <c r="G9" i="8"/>
  <c r="G10" i="8"/>
  <c r="C10" i="8"/>
  <c r="B10" i="8"/>
  <c r="C9" i="8"/>
  <c r="B9" i="8"/>
  <c r="C38" i="13"/>
  <c r="B38" i="13"/>
  <c r="C37" i="13"/>
  <c r="B37" i="13"/>
  <c r="D52" i="8" l="1"/>
  <c r="G51" i="8"/>
  <c r="H51" i="8"/>
  <c r="C178" i="13"/>
  <c r="C177" i="13"/>
  <c r="C176" i="13"/>
  <c r="C175" i="13"/>
  <c r="C174" i="13"/>
  <c r="C169" i="13"/>
  <c r="C167" i="13"/>
  <c r="C171" i="13"/>
  <c r="C143" i="13"/>
  <c r="C150" i="13"/>
  <c r="C152" i="13"/>
  <c r="C154" i="13"/>
  <c r="C157" i="13"/>
  <c r="C159" i="13"/>
  <c r="C165" i="13"/>
  <c r="B165" i="13"/>
  <c r="B178" i="13"/>
  <c r="B177" i="13"/>
  <c r="B176" i="13"/>
  <c r="B175" i="13"/>
  <c r="B174" i="13"/>
  <c r="C173" i="13"/>
  <c r="B173" i="13"/>
  <c r="C172" i="13"/>
  <c r="B172" i="13"/>
  <c r="B171" i="13"/>
  <c r="C170" i="13"/>
  <c r="B170" i="13"/>
  <c r="B169" i="13"/>
  <c r="C168" i="13"/>
  <c r="B168" i="13"/>
  <c r="B167" i="13"/>
  <c r="C166" i="13"/>
  <c r="B166" i="13"/>
  <c r="C164" i="13"/>
  <c r="B164" i="13"/>
  <c r="C163" i="13"/>
  <c r="B163" i="13"/>
  <c r="C162" i="13"/>
  <c r="B162" i="13"/>
  <c r="C161" i="13"/>
  <c r="B161" i="13"/>
  <c r="C160" i="13"/>
  <c r="B160" i="13"/>
  <c r="B159" i="13"/>
  <c r="C158" i="13"/>
  <c r="B158" i="13"/>
  <c r="B157" i="13"/>
  <c r="C156" i="13"/>
  <c r="B156" i="13"/>
  <c r="C155" i="13"/>
  <c r="B155" i="13"/>
  <c r="B154" i="13"/>
  <c r="C153" i="13"/>
  <c r="B153" i="13"/>
  <c r="B152" i="13"/>
  <c r="C151" i="13"/>
  <c r="B151" i="13"/>
  <c r="B150" i="13"/>
  <c r="C149" i="13"/>
  <c r="B149" i="13"/>
  <c r="C148" i="13"/>
  <c r="B148" i="13"/>
  <c r="C147" i="13"/>
  <c r="B147" i="13"/>
  <c r="C146" i="13"/>
  <c r="B146" i="13"/>
  <c r="C145" i="13"/>
  <c r="B145" i="13"/>
  <c r="C144" i="13"/>
  <c r="B144" i="13"/>
  <c r="B143" i="13"/>
  <c r="C142" i="13"/>
  <c r="B142" i="13"/>
  <c r="C141" i="13"/>
  <c r="B141" i="13"/>
  <c r="C140" i="13"/>
  <c r="B140" i="13"/>
  <c r="D53" i="8" l="1"/>
  <c r="H52" i="8"/>
  <c r="G52" i="8"/>
  <c r="G138" i="13"/>
  <c r="F138" i="13"/>
  <c r="E138" i="13"/>
  <c r="D138" i="13"/>
  <c r="C138" i="13"/>
  <c r="B138" i="13"/>
  <c r="G137" i="13"/>
  <c r="F137" i="13"/>
  <c r="E137" i="13"/>
  <c r="D137" i="13"/>
  <c r="C137" i="13"/>
  <c r="B137" i="13"/>
  <c r="G136" i="13"/>
  <c r="F136" i="13"/>
  <c r="E136" i="13"/>
  <c r="D136" i="13"/>
  <c r="C136" i="13"/>
  <c r="B136" i="13"/>
  <c r="G135" i="13"/>
  <c r="F135" i="13"/>
  <c r="E135" i="13"/>
  <c r="D135" i="13"/>
  <c r="C135" i="13"/>
  <c r="B135" i="13"/>
  <c r="G134" i="13"/>
  <c r="F134" i="13"/>
  <c r="E134" i="13"/>
  <c r="D134" i="13"/>
  <c r="C134" i="13"/>
  <c r="B134" i="13"/>
  <c r="G133" i="13"/>
  <c r="F133" i="13"/>
  <c r="E133" i="13"/>
  <c r="D133" i="13"/>
  <c r="C133" i="13"/>
  <c r="B133" i="13"/>
  <c r="G132" i="13"/>
  <c r="F132" i="13"/>
  <c r="E132" i="13"/>
  <c r="D132" i="13"/>
  <c r="C132" i="13"/>
  <c r="B132" i="13"/>
  <c r="G131" i="13"/>
  <c r="F131" i="13"/>
  <c r="E131" i="13"/>
  <c r="D131" i="13"/>
  <c r="C131" i="13"/>
  <c r="B131" i="13"/>
  <c r="G130" i="13"/>
  <c r="F130" i="13"/>
  <c r="E130" i="13"/>
  <c r="D130" i="13"/>
  <c r="C130" i="13"/>
  <c r="B130" i="13"/>
  <c r="G129" i="13"/>
  <c r="F129" i="13"/>
  <c r="E129" i="13"/>
  <c r="D129" i="13"/>
  <c r="C129" i="13"/>
  <c r="B129" i="13"/>
  <c r="G128" i="13"/>
  <c r="F128" i="13"/>
  <c r="E128" i="13"/>
  <c r="D128" i="13"/>
  <c r="C128" i="13"/>
  <c r="B128" i="13"/>
  <c r="G127" i="13"/>
  <c r="F127" i="13"/>
  <c r="E127" i="13"/>
  <c r="D127" i="13"/>
  <c r="C127" i="13"/>
  <c r="B127" i="13"/>
  <c r="G126" i="13"/>
  <c r="F126" i="13"/>
  <c r="E126" i="13"/>
  <c r="D126" i="13"/>
  <c r="C126" i="13"/>
  <c r="B126" i="13"/>
  <c r="G125" i="13"/>
  <c r="F125" i="13"/>
  <c r="E125" i="13"/>
  <c r="D125" i="13"/>
  <c r="C125" i="13"/>
  <c r="B125" i="13"/>
  <c r="G124" i="13"/>
  <c r="F124" i="13"/>
  <c r="E124" i="13"/>
  <c r="D124" i="13"/>
  <c r="C124" i="13"/>
  <c r="B124" i="13"/>
  <c r="G123" i="13"/>
  <c r="F123" i="13"/>
  <c r="E123" i="13"/>
  <c r="D123" i="13"/>
  <c r="C123" i="13"/>
  <c r="B123" i="13"/>
  <c r="G122" i="13"/>
  <c r="F122" i="13"/>
  <c r="E122" i="13"/>
  <c r="D122" i="13"/>
  <c r="C122" i="13"/>
  <c r="B122" i="13"/>
  <c r="G121" i="13"/>
  <c r="F121" i="13"/>
  <c r="E121" i="13"/>
  <c r="D121" i="13"/>
  <c r="C121" i="13"/>
  <c r="B121" i="13"/>
  <c r="G120" i="13"/>
  <c r="F120" i="13"/>
  <c r="E120" i="13"/>
  <c r="D120" i="13"/>
  <c r="C120" i="13"/>
  <c r="B120" i="13"/>
  <c r="G119" i="13"/>
  <c r="F119" i="13"/>
  <c r="E119" i="13"/>
  <c r="D119" i="13"/>
  <c r="C119" i="13"/>
  <c r="B119" i="13"/>
  <c r="G118" i="13"/>
  <c r="F118" i="13"/>
  <c r="E118" i="13"/>
  <c r="D118" i="13"/>
  <c r="C118" i="13"/>
  <c r="B118" i="13"/>
  <c r="G117" i="13"/>
  <c r="F117" i="13"/>
  <c r="E117" i="13"/>
  <c r="D117" i="13"/>
  <c r="C117" i="13"/>
  <c r="B117" i="13"/>
  <c r="G116" i="13"/>
  <c r="F116" i="13"/>
  <c r="E116" i="13"/>
  <c r="D116" i="13"/>
  <c r="C116" i="13"/>
  <c r="B116" i="13"/>
  <c r="G115" i="13"/>
  <c r="F115" i="13"/>
  <c r="E115" i="13"/>
  <c r="D115" i="13"/>
  <c r="C115" i="13"/>
  <c r="B115" i="13"/>
  <c r="G114" i="13"/>
  <c r="F114" i="13"/>
  <c r="E114" i="13"/>
  <c r="D114" i="13"/>
  <c r="C114" i="13"/>
  <c r="B114" i="13"/>
  <c r="G113" i="13"/>
  <c r="F113" i="13"/>
  <c r="E113" i="13"/>
  <c r="D113" i="13"/>
  <c r="C113" i="13"/>
  <c r="B113" i="13"/>
  <c r="G112" i="13"/>
  <c r="F112" i="13"/>
  <c r="E112" i="13"/>
  <c r="D112" i="13"/>
  <c r="C112" i="13"/>
  <c r="B112" i="13"/>
  <c r="G111" i="13"/>
  <c r="F111" i="13"/>
  <c r="E111" i="13"/>
  <c r="D111" i="13"/>
  <c r="C111" i="13"/>
  <c r="B111" i="13"/>
  <c r="G110" i="13"/>
  <c r="F110" i="13"/>
  <c r="E110" i="13"/>
  <c r="D110" i="13"/>
  <c r="C110" i="13"/>
  <c r="B110" i="13"/>
  <c r="G109" i="13"/>
  <c r="F109" i="13"/>
  <c r="E109" i="13"/>
  <c r="D109" i="13"/>
  <c r="C109" i="13"/>
  <c r="B109" i="13"/>
  <c r="T106" i="13"/>
  <c r="T105" i="13"/>
  <c r="T104" i="13"/>
  <c r="T103" i="13"/>
  <c r="T102" i="13"/>
  <c r="T101" i="13"/>
  <c r="T100" i="13"/>
  <c r="T99" i="13"/>
  <c r="T98" i="13"/>
  <c r="T97" i="13"/>
  <c r="T96" i="13"/>
  <c r="C7" i="13"/>
  <c r="D54" i="8" l="1"/>
  <c r="G53" i="8"/>
  <c r="H53" i="8"/>
  <c r="C69" i="13"/>
  <c r="C66" i="13"/>
  <c r="C65" i="13"/>
  <c r="C64" i="13"/>
  <c r="C63" i="13"/>
  <c r="C62" i="13"/>
  <c r="C61" i="13"/>
  <c r="C60" i="13"/>
  <c r="C59" i="13"/>
  <c r="C58" i="13"/>
  <c r="C57" i="13"/>
  <c r="C56" i="13"/>
  <c r="C55" i="13"/>
  <c r="C54" i="13"/>
  <c r="C53" i="13"/>
  <c r="C52" i="13"/>
  <c r="C51" i="13"/>
  <c r="C50" i="13"/>
  <c r="B69" i="13"/>
  <c r="B66" i="13"/>
  <c r="B65" i="13"/>
  <c r="B64" i="13"/>
  <c r="B63" i="13"/>
  <c r="B62" i="13"/>
  <c r="B61" i="13"/>
  <c r="B60" i="13"/>
  <c r="B59" i="13"/>
  <c r="B58" i="13"/>
  <c r="B57" i="13"/>
  <c r="B56" i="13"/>
  <c r="B55" i="13"/>
  <c r="B54" i="13"/>
  <c r="B53" i="13"/>
  <c r="B52" i="13"/>
  <c r="B51" i="13"/>
  <c r="B50" i="13"/>
  <c r="B48" i="13"/>
  <c r="B47" i="13"/>
  <c r="B46" i="13"/>
  <c r="B45" i="13"/>
  <c r="B44" i="13"/>
  <c r="B42" i="13"/>
  <c r="B41" i="13"/>
  <c r="B40" i="13"/>
  <c r="B39" i="13"/>
  <c r="B36" i="13"/>
  <c r="B35" i="13"/>
  <c r="B33" i="13"/>
  <c r="B32" i="13"/>
  <c r="B26" i="13"/>
  <c r="B23" i="13"/>
  <c r="B20" i="13"/>
  <c r="B18" i="13"/>
  <c r="B17" i="13"/>
  <c r="B16" i="13"/>
  <c r="B15" i="13"/>
  <c r="B14" i="13"/>
  <c r="B13" i="13"/>
  <c r="B12" i="13"/>
  <c r="B11" i="13"/>
  <c r="B10" i="13"/>
  <c r="B9" i="13"/>
  <c r="C48" i="13"/>
  <c r="C47" i="13"/>
  <c r="C46" i="13"/>
  <c r="C45" i="13"/>
  <c r="C44" i="13"/>
  <c r="C43" i="13"/>
  <c r="C42" i="13"/>
  <c r="C41" i="13"/>
  <c r="C40" i="13"/>
  <c r="C39" i="13"/>
  <c r="C36" i="13"/>
  <c r="C35" i="13"/>
  <c r="C33" i="13"/>
  <c r="C32" i="13"/>
  <c r="C26" i="13"/>
  <c r="C23" i="13"/>
  <c r="C20" i="13"/>
  <c r="C18" i="13"/>
  <c r="C17" i="13"/>
  <c r="C16" i="13"/>
  <c r="C15" i="13"/>
  <c r="C14" i="13"/>
  <c r="C13" i="13"/>
  <c r="C12" i="13"/>
  <c r="C11" i="13"/>
  <c r="C10" i="13"/>
  <c r="C9" i="13"/>
  <c r="D55" i="8" l="1"/>
  <c r="G54" i="8"/>
  <c r="H54" i="8"/>
  <c r="F17" i="13"/>
  <c r="E17" i="13"/>
  <c r="D17" i="13"/>
  <c r="F13" i="13"/>
  <c r="D13" i="13"/>
  <c r="E13" i="13"/>
  <c r="B160" i="8"/>
  <c r="B154" i="8"/>
  <c r="B146" i="8"/>
  <c r="B138" i="8"/>
  <c r="B132" i="8"/>
  <c r="B126" i="8"/>
  <c r="B118" i="8"/>
  <c r="B110" i="8"/>
  <c r="B91" i="8"/>
  <c r="D56" i="8" l="1"/>
  <c r="G55" i="8"/>
  <c r="H55" i="8"/>
  <c r="C160" i="8"/>
  <c r="C161" i="8" s="1"/>
  <c r="C162" i="8" s="1"/>
  <c r="C163" i="8" s="1"/>
  <c r="C164" i="8" s="1"/>
  <c r="C154" i="8"/>
  <c r="C155" i="8" s="1"/>
  <c r="C156" i="8" s="1"/>
  <c r="C157" i="8" s="1"/>
  <c r="C158" i="8" s="1"/>
  <c r="C146" i="8"/>
  <c r="C147" i="8" s="1"/>
  <c r="C148" i="8" s="1"/>
  <c r="C149" i="8" s="1"/>
  <c r="C150" i="8" s="1"/>
  <c r="C151" i="8" s="1"/>
  <c r="C152" i="8" s="1"/>
  <c r="C138" i="8"/>
  <c r="C139" i="8" s="1"/>
  <c r="C140" i="8" s="1"/>
  <c r="C141" i="8" s="1"/>
  <c r="C142" i="8" s="1"/>
  <c r="C143" i="8" s="1"/>
  <c r="C144" i="8" s="1"/>
  <c r="B161" i="8"/>
  <c r="B162" i="8" s="1"/>
  <c r="B163" i="8" s="1"/>
  <c r="B164" i="8" s="1"/>
  <c r="B155" i="8"/>
  <c r="B156" i="8" s="1"/>
  <c r="B157" i="8" s="1"/>
  <c r="B158" i="8" s="1"/>
  <c r="B147" i="8"/>
  <c r="B148" i="8" s="1"/>
  <c r="B149" i="8" s="1"/>
  <c r="B150" i="8" s="1"/>
  <c r="B151" i="8" s="1"/>
  <c r="B152" i="8" s="1"/>
  <c r="B139" i="8"/>
  <c r="B140" i="8" s="1"/>
  <c r="B141" i="8" s="1"/>
  <c r="B142" i="8" s="1"/>
  <c r="B143" i="8" s="1"/>
  <c r="B144" i="8" s="1"/>
  <c r="B133" i="8"/>
  <c r="B134" i="8" s="1"/>
  <c r="B135" i="8" s="1"/>
  <c r="B136" i="8" s="1"/>
  <c r="B127" i="8"/>
  <c r="B128" i="8" s="1"/>
  <c r="B129" i="8" s="1"/>
  <c r="B130" i="8" s="1"/>
  <c r="B119" i="8"/>
  <c r="B120" i="8" s="1"/>
  <c r="B121" i="8" s="1"/>
  <c r="B122" i="8" s="1"/>
  <c r="B123" i="8" s="1"/>
  <c r="B124" i="8" s="1"/>
  <c r="B111" i="8"/>
  <c r="B112" i="8" s="1"/>
  <c r="B113" i="8" s="1"/>
  <c r="B114" i="8" s="1"/>
  <c r="B115" i="8" s="1"/>
  <c r="B116" i="8" s="1"/>
  <c r="C132" i="8"/>
  <c r="C133" i="8" s="1"/>
  <c r="C134" i="8" s="1"/>
  <c r="C135" i="8" s="1"/>
  <c r="C136" i="8" s="1"/>
  <c r="C126" i="8"/>
  <c r="C127" i="8" s="1"/>
  <c r="C128" i="8" s="1"/>
  <c r="C129" i="8" s="1"/>
  <c r="C130" i="8" s="1"/>
  <c r="C118" i="8"/>
  <c r="C119" i="8" s="1"/>
  <c r="C120" i="8" s="1"/>
  <c r="C121" i="8" s="1"/>
  <c r="C122" i="8" s="1"/>
  <c r="C123" i="8" s="1"/>
  <c r="C124" i="8" s="1"/>
  <c r="C110" i="8"/>
  <c r="C111" i="8" s="1"/>
  <c r="C112" i="8" s="1"/>
  <c r="C113" i="8" s="1"/>
  <c r="C114" i="8" s="1"/>
  <c r="C115" i="8" s="1"/>
  <c r="C116" i="8" s="1"/>
  <c r="B92" i="8"/>
  <c r="B93" i="8" s="1"/>
  <c r="B94" i="8" s="1"/>
  <c r="B95" i="8" s="1"/>
  <c r="B96" i="8" s="1"/>
  <c r="B97" i="8" s="1"/>
  <c r="B98" i="8" s="1"/>
  <c r="B99" i="8" s="1"/>
  <c r="B100" i="8" s="1"/>
  <c r="B101" i="8" s="1"/>
  <c r="B102" i="8" s="1"/>
  <c r="B103" i="8" s="1"/>
  <c r="B104" i="8" s="1"/>
  <c r="B105" i="8" s="1"/>
  <c r="B106" i="8" s="1"/>
  <c r="B107" i="8" s="1"/>
  <c r="B108" i="8" s="1"/>
  <c r="B88" i="8"/>
  <c r="B89" i="8" s="1"/>
  <c r="C88" i="8"/>
  <c r="C89" i="8" s="1"/>
  <c r="C91" i="8"/>
  <c r="C92" i="8" s="1"/>
  <c r="C93" i="8" s="1"/>
  <c r="C94" i="8" s="1"/>
  <c r="C95" i="8" s="1"/>
  <c r="C96" i="8" s="1"/>
  <c r="C97" i="8" s="1"/>
  <c r="C98" i="8" s="1"/>
  <c r="C99" i="8" s="1"/>
  <c r="C100" i="8" s="1"/>
  <c r="C101" i="8" s="1"/>
  <c r="C102" i="8" s="1"/>
  <c r="C103" i="8" s="1"/>
  <c r="C104" i="8" s="1"/>
  <c r="C105" i="8" s="1"/>
  <c r="C106" i="8" s="1"/>
  <c r="C107" i="8" s="1"/>
  <c r="C108" i="8" s="1"/>
  <c r="B20" i="8"/>
  <c r="B21" i="8" s="1"/>
  <c r="B22" i="8" s="1"/>
  <c r="B23" i="8" s="1"/>
  <c r="B24" i="8" s="1"/>
  <c r="B25" i="8" s="1"/>
  <c r="B26" i="8" s="1"/>
  <c r="B27" i="8" s="1"/>
  <c r="B28" i="8" s="1"/>
  <c r="B29" i="8" s="1"/>
  <c r="B30" i="8" s="1"/>
  <c r="B31" i="8" s="1"/>
  <c r="B32" i="8" s="1"/>
  <c r="C20" i="8"/>
  <c r="C21" i="8" s="1"/>
  <c r="C22" i="8" s="1"/>
  <c r="C23" i="8" s="1"/>
  <c r="C24" i="8" s="1"/>
  <c r="C25" i="8" s="1"/>
  <c r="C26" i="8" s="1"/>
  <c r="C27" i="8" s="1"/>
  <c r="C28" i="8" s="1"/>
  <c r="C29" i="8" s="1"/>
  <c r="C30" i="8" s="1"/>
  <c r="C31" i="8" s="1"/>
  <c r="C32" i="8" s="1"/>
  <c r="G56" i="8" l="1"/>
  <c r="H56" i="8"/>
  <c r="D57" i="8"/>
  <c r="G57" i="8" l="1"/>
  <c r="H57" i="8"/>
  <c r="N35" i="8" l="1"/>
  <c r="N47" i="8"/>
  <c r="N45" i="8"/>
  <c r="N49" i="8"/>
  <c r="N52" i="8"/>
  <c r="N39" i="8"/>
  <c r="N53" i="8"/>
  <c r="N36" i="8"/>
  <c r="N40" i="8"/>
  <c r="N50" i="8"/>
  <c r="N48" i="8"/>
  <c r="N51" i="8"/>
  <c r="N43" i="8"/>
  <c r="N41" i="8"/>
  <c r="N37" i="8"/>
  <c r="N46" i="8"/>
  <c r="N34" i="8"/>
  <c r="N44" i="8"/>
  <c r="N42" i="8"/>
  <c r="N38" i="8"/>
</calcChain>
</file>

<file path=xl/sharedStrings.xml><?xml version="1.0" encoding="utf-8"?>
<sst xmlns="http://schemas.openxmlformats.org/spreadsheetml/2006/main" count="2263" uniqueCount="1335">
  <si>
    <t>Answer</t>
  </si>
  <si>
    <t>Comment for development</t>
  </si>
  <si>
    <t>Full name</t>
  </si>
  <si>
    <t>dropdown</t>
  </si>
  <si>
    <t>Company 
information</t>
  </si>
  <si>
    <t>text box</t>
  </si>
  <si>
    <t>Provide a description of services that are offered</t>
  </si>
  <si>
    <t>Do you intend to act on behalf of others?</t>
  </si>
  <si>
    <t>Section</t>
  </si>
  <si>
    <t>Additional information (not mandatory)</t>
  </si>
  <si>
    <t>Bank account information</t>
  </si>
  <si>
    <t>Gambling</t>
  </si>
  <si>
    <t>Adult entertainment</t>
  </si>
  <si>
    <t>Arms industry and commerce</t>
  </si>
  <si>
    <t>Commerce of minerals, precious metals, stones and gems</t>
  </si>
  <si>
    <t>Cloud mining</t>
  </si>
  <si>
    <t>Iran</t>
  </si>
  <si>
    <t>Syria</t>
  </si>
  <si>
    <t>North Korea</t>
  </si>
  <si>
    <t>Sudan</t>
  </si>
  <si>
    <t>Sudan/South Sudan</t>
  </si>
  <si>
    <t>Somalia</t>
  </si>
  <si>
    <t>Myanmar (Burma)</t>
  </si>
  <si>
    <t>Cuba</t>
  </si>
  <si>
    <t>Yemen</t>
  </si>
  <si>
    <t>Zimbabwe</t>
  </si>
  <si>
    <t>1a</t>
  </si>
  <si>
    <t>Does the AML policy include information regarding applicable legislation?</t>
  </si>
  <si>
    <t>1b</t>
  </si>
  <si>
    <t>Does the AML policy include content regarding CDD and EDD?</t>
  </si>
  <si>
    <t>2a</t>
  </si>
  <si>
    <t>Does the AML policy specify CDD information and procedures (e.g. verification of identity)?</t>
  </si>
  <si>
    <t>2b</t>
  </si>
  <si>
    <t>Does the AML policy specify EDD information and procedures (e.g. information regarding source of funds)?</t>
  </si>
  <si>
    <t>2c</t>
  </si>
  <si>
    <t>2d</t>
  </si>
  <si>
    <t>2e</t>
  </si>
  <si>
    <t>Does the AML policy include information regarding verification of the identity of Proxies and Representatives (directors)?</t>
  </si>
  <si>
    <t>Does the AML policy include information regarding periodic reviews of the customers?</t>
  </si>
  <si>
    <t>Does the AML policy include information regarding risk assessment?</t>
  </si>
  <si>
    <t>5a</t>
  </si>
  <si>
    <t>Are the results of risk assessment defined as certain risk levels (e.g. Low, Medium, High)?</t>
  </si>
  <si>
    <t>Does the AML policy include procedures that deal with customers that have underlying customers?</t>
  </si>
  <si>
    <t>Does the AML policy include information regarding sanctions screening?</t>
  </si>
  <si>
    <t>7a</t>
  </si>
  <si>
    <t>Does sanctions screening include specific black lists (e.g. OFAC, UN, EU, HMT)?</t>
  </si>
  <si>
    <t>7b</t>
  </si>
  <si>
    <t>Is screening process performed on an ongoing basis?</t>
  </si>
  <si>
    <t>7c</t>
  </si>
  <si>
    <t>Does the AML policy include procedures regarding PEP screening?</t>
  </si>
  <si>
    <t>7d</t>
  </si>
  <si>
    <t>Does the AML policy include information regarding level of due diligence prescribed for identified PEPs?</t>
  </si>
  <si>
    <t>Does the AML policy include information regarding suspicious activity reporting to LE/FIUs?</t>
  </si>
  <si>
    <t>Does the AML policy include information regarding transaction monitoring?</t>
  </si>
  <si>
    <t>Afghanistan</t>
  </si>
  <si>
    <t>AF</t>
  </si>
  <si>
    <t>Albania</t>
  </si>
  <si>
    <t>AL</t>
  </si>
  <si>
    <t>Algeria</t>
  </si>
  <si>
    <t>DZ</t>
  </si>
  <si>
    <t>American Samoa</t>
  </si>
  <si>
    <t>AS</t>
  </si>
  <si>
    <t>Andorra</t>
  </si>
  <si>
    <t>AD</t>
  </si>
  <si>
    <t>Angola</t>
  </si>
  <si>
    <t>AO</t>
  </si>
  <si>
    <t>Anguilla</t>
  </si>
  <si>
    <t>AI</t>
  </si>
  <si>
    <t>Antigua and Barbuda</t>
  </si>
  <si>
    <t>AG</t>
  </si>
  <si>
    <t>Argentina</t>
  </si>
  <si>
    <t>AR</t>
  </si>
  <si>
    <t>Armenia</t>
  </si>
  <si>
    <t>AM</t>
  </si>
  <si>
    <t>Aruba</t>
  </si>
  <si>
    <t>AW</t>
  </si>
  <si>
    <t>SH</t>
  </si>
  <si>
    <t>Australia</t>
  </si>
  <si>
    <t>AU</t>
  </si>
  <si>
    <t>Austria</t>
  </si>
  <si>
    <t>AT</t>
  </si>
  <si>
    <t>Azerbaijan</t>
  </si>
  <si>
    <t>AZ</t>
  </si>
  <si>
    <t>BS</t>
  </si>
  <si>
    <t>Bahrain</t>
  </si>
  <si>
    <t>BH</t>
  </si>
  <si>
    <t>UM</t>
  </si>
  <si>
    <t>Bangladesh</t>
  </si>
  <si>
    <t>BD</t>
  </si>
  <si>
    <t>Barbados</t>
  </si>
  <si>
    <t>BB</t>
  </si>
  <si>
    <t>Belarus</t>
  </si>
  <si>
    <t>BY</t>
  </si>
  <si>
    <t>Belgium</t>
  </si>
  <si>
    <t>BE</t>
  </si>
  <si>
    <t>Belize</t>
  </si>
  <si>
    <t>BZ</t>
  </si>
  <si>
    <t>Benin</t>
  </si>
  <si>
    <t>BJ</t>
  </si>
  <si>
    <t>Bermuda</t>
  </si>
  <si>
    <t>BM</t>
  </si>
  <si>
    <t>Bhutan</t>
  </si>
  <si>
    <t>BT</t>
  </si>
  <si>
    <t>Bolivia</t>
  </si>
  <si>
    <t>BO</t>
  </si>
  <si>
    <t>BQ</t>
  </si>
  <si>
    <t>Bosnia and Herzegovina</t>
  </si>
  <si>
    <t>BA</t>
  </si>
  <si>
    <t>Botswana</t>
  </si>
  <si>
    <t>BW</t>
  </si>
  <si>
    <t>Brazil</t>
  </si>
  <si>
    <t>BR</t>
  </si>
  <si>
    <t>British Indian Ocean Territory</t>
  </si>
  <si>
    <t>IO</t>
  </si>
  <si>
    <t>Brunei</t>
  </si>
  <si>
    <t>BN</t>
  </si>
  <si>
    <t>Bulgaria</t>
  </si>
  <si>
    <t>BG</t>
  </si>
  <si>
    <t>Burkina Faso</t>
  </si>
  <si>
    <t>BF</t>
  </si>
  <si>
    <t>MM</t>
  </si>
  <si>
    <t>Burundi</t>
  </si>
  <si>
    <t>BI</t>
  </si>
  <si>
    <t>CV</t>
  </si>
  <si>
    <t>Cambodia</t>
  </si>
  <si>
    <t>KH</t>
  </si>
  <si>
    <t>Cameroon</t>
  </si>
  <si>
    <t>CM</t>
  </si>
  <si>
    <t>Canada</t>
  </si>
  <si>
    <t>CA</t>
  </si>
  <si>
    <t>Cayman Islands</t>
  </si>
  <si>
    <t>KY</t>
  </si>
  <si>
    <t>Central African Republic</t>
  </si>
  <si>
    <t>CF</t>
  </si>
  <si>
    <t>Chad</t>
  </si>
  <si>
    <t>TD</t>
  </si>
  <si>
    <t>Chile</t>
  </si>
  <si>
    <t>CL</t>
  </si>
  <si>
    <t>China</t>
  </si>
  <si>
    <t>CN</t>
  </si>
  <si>
    <t>Christmas Island</t>
  </si>
  <si>
    <t>CX</t>
  </si>
  <si>
    <t>Cocos (Keeling) Islands</t>
  </si>
  <si>
    <t>CC</t>
  </si>
  <si>
    <t>Colombia</t>
  </si>
  <si>
    <t>CO</t>
  </si>
  <si>
    <t>Comoros</t>
  </si>
  <si>
    <t>KM</t>
  </si>
  <si>
    <t>Congo, Democratic Republic of the</t>
  </si>
  <si>
    <t>CD</t>
  </si>
  <si>
    <t>Congo, Republic of the</t>
  </si>
  <si>
    <t>CG</t>
  </si>
  <si>
    <t>Cook Islands</t>
  </si>
  <si>
    <t>CK</t>
  </si>
  <si>
    <t>Costa Rica</t>
  </si>
  <si>
    <t>CR</t>
  </si>
  <si>
    <t>Côte d'Ivoire</t>
  </si>
  <si>
    <t>CI</t>
  </si>
  <si>
    <t>Croatia</t>
  </si>
  <si>
    <t>HR</t>
  </si>
  <si>
    <t>CU</t>
  </si>
  <si>
    <t>Curacao</t>
  </si>
  <si>
    <t>CW</t>
  </si>
  <si>
    <t>Cyprus</t>
  </si>
  <si>
    <t>CY</t>
  </si>
  <si>
    <t>CZ</t>
  </si>
  <si>
    <t>Denmark</t>
  </si>
  <si>
    <t>DK</t>
  </si>
  <si>
    <t>Djibouti</t>
  </si>
  <si>
    <t>DJ</t>
  </si>
  <si>
    <t>Dominica</t>
  </si>
  <si>
    <t>DM</t>
  </si>
  <si>
    <t>Dominican Republic</t>
  </si>
  <si>
    <t>DO</t>
  </si>
  <si>
    <t>Ecuador</t>
  </si>
  <si>
    <t>EC</t>
  </si>
  <si>
    <t>Egypt</t>
  </si>
  <si>
    <t>EG</t>
  </si>
  <si>
    <t>El Salvador</t>
  </si>
  <si>
    <t>SV</t>
  </si>
  <si>
    <t>Equatorial Guinea</t>
  </si>
  <si>
    <t>GQ</t>
  </si>
  <si>
    <t>Eritrea</t>
  </si>
  <si>
    <t>ER</t>
  </si>
  <si>
    <t>Estonia</t>
  </si>
  <si>
    <t>EE</t>
  </si>
  <si>
    <t>SZ</t>
  </si>
  <si>
    <t>Ethiopia</t>
  </si>
  <si>
    <t>ET</t>
  </si>
  <si>
    <t>FK</t>
  </si>
  <si>
    <t>Faroe Islands</t>
  </si>
  <si>
    <t>FO</t>
  </si>
  <si>
    <t>Fiji</t>
  </si>
  <si>
    <t>FJ</t>
  </si>
  <si>
    <t>Finland</t>
  </si>
  <si>
    <t>FI</t>
  </si>
  <si>
    <t>France</t>
  </si>
  <si>
    <t>FR</t>
  </si>
  <si>
    <t>French Guiana</t>
  </si>
  <si>
    <t>GF</t>
  </si>
  <si>
    <t>French Polynesia</t>
  </si>
  <si>
    <t>PF</t>
  </si>
  <si>
    <t>French Southern and Antarctic Lands</t>
  </si>
  <si>
    <t>TF</t>
  </si>
  <si>
    <t>Gabon</t>
  </si>
  <si>
    <t>GA</t>
  </si>
  <si>
    <t>GM</t>
  </si>
  <si>
    <t>Georgia</t>
  </si>
  <si>
    <t>GE</t>
  </si>
  <si>
    <t>Germany</t>
  </si>
  <si>
    <t>DE</t>
  </si>
  <si>
    <t>Ghana</t>
  </si>
  <si>
    <t>GH</t>
  </si>
  <si>
    <t>Gibraltar</t>
  </si>
  <si>
    <t>GI</t>
  </si>
  <si>
    <t>Greece</t>
  </si>
  <si>
    <t>GR</t>
  </si>
  <si>
    <t>Greenland</t>
  </si>
  <si>
    <t>GL</t>
  </si>
  <si>
    <t>Grenada</t>
  </si>
  <si>
    <t>GD</t>
  </si>
  <si>
    <t>Guadeloupe</t>
  </si>
  <si>
    <t>GP</t>
  </si>
  <si>
    <t>Guam</t>
  </si>
  <si>
    <t>GU</t>
  </si>
  <si>
    <t>Guatemala</t>
  </si>
  <si>
    <t>GT</t>
  </si>
  <si>
    <t>Guernsey</t>
  </si>
  <si>
    <t>GG</t>
  </si>
  <si>
    <t>Guinea</t>
  </si>
  <si>
    <t>GN</t>
  </si>
  <si>
    <t>Guinea-Bissau</t>
  </si>
  <si>
    <t>GW</t>
  </si>
  <si>
    <t>Guyana</t>
  </si>
  <si>
    <t>GY</t>
  </si>
  <si>
    <t>Haiti</t>
  </si>
  <si>
    <t>HT</t>
  </si>
  <si>
    <t>HM</t>
  </si>
  <si>
    <t>VA</t>
  </si>
  <si>
    <t>Honduras</t>
  </si>
  <si>
    <t>HN</t>
  </si>
  <si>
    <t>Hong Kong</t>
  </si>
  <si>
    <t>HK</t>
  </si>
  <si>
    <t>Hungary</t>
  </si>
  <si>
    <t>HU</t>
  </si>
  <si>
    <t>Iceland</t>
  </si>
  <si>
    <t>IS</t>
  </si>
  <si>
    <t>India</t>
  </si>
  <si>
    <t>IN</t>
  </si>
  <si>
    <t>Indonesia</t>
  </si>
  <si>
    <t>ID</t>
  </si>
  <si>
    <t>IR</t>
  </si>
  <si>
    <t>Iraq</t>
  </si>
  <si>
    <t>IQ</t>
  </si>
  <si>
    <t>Ireland</t>
  </si>
  <si>
    <t>IE</t>
  </si>
  <si>
    <t>Isle of Man</t>
  </si>
  <si>
    <t>IM</t>
  </si>
  <si>
    <t>Israel</t>
  </si>
  <si>
    <t>IL</t>
  </si>
  <si>
    <t>Italy</t>
  </si>
  <si>
    <t>IT</t>
  </si>
  <si>
    <t>Jamaica</t>
  </si>
  <si>
    <t>JM</t>
  </si>
  <si>
    <t>SJ</t>
  </si>
  <si>
    <t>Japan</t>
  </si>
  <si>
    <t>JP</t>
  </si>
  <si>
    <t>Jersey</t>
  </si>
  <si>
    <t>JE</t>
  </si>
  <si>
    <t>Jordan</t>
  </si>
  <si>
    <t>JO</t>
  </si>
  <si>
    <t>Kazakhstan</t>
  </si>
  <si>
    <t>KZ</t>
  </si>
  <si>
    <t>Kenya</t>
  </si>
  <si>
    <t>KE</t>
  </si>
  <si>
    <t>Kiribati</t>
  </si>
  <si>
    <t>KI</t>
  </si>
  <si>
    <t>KP</t>
  </si>
  <si>
    <t>KR</t>
  </si>
  <si>
    <t>Kosovo</t>
  </si>
  <si>
    <t>XK</t>
  </si>
  <si>
    <t>Kuwait</t>
  </si>
  <si>
    <t>KW</t>
  </si>
  <si>
    <t>Kyrgyzstan</t>
  </si>
  <si>
    <t>KG</t>
  </si>
  <si>
    <t>Laos</t>
  </si>
  <si>
    <t>LA</t>
  </si>
  <si>
    <t>Latvia</t>
  </si>
  <si>
    <t>LV</t>
  </si>
  <si>
    <t>Lebanon</t>
  </si>
  <si>
    <t>LB</t>
  </si>
  <si>
    <t>Lesotho</t>
  </si>
  <si>
    <t>LS</t>
  </si>
  <si>
    <t>Liberia</t>
  </si>
  <si>
    <t>LR</t>
  </si>
  <si>
    <t>Libya</t>
  </si>
  <si>
    <t>LY</t>
  </si>
  <si>
    <t>Liechtenstein</t>
  </si>
  <si>
    <t>LI</t>
  </si>
  <si>
    <t>Lithuania</t>
  </si>
  <si>
    <t>LT</t>
  </si>
  <si>
    <t>Luxembourg</t>
  </si>
  <si>
    <t>LU</t>
  </si>
  <si>
    <t>Macau</t>
  </si>
  <si>
    <t>MO</t>
  </si>
  <si>
    <t>MK</t>
  </si>
  <si>
    <t>Madagascar</t>
  </si>
  <si>
    <t>MG</t>
  </si>
  <si>
    <t>Malawi</t>
  </si>
  <si>
    <t>MW</t>
  </si>
  <si>
    <t>Malaysia</t>
  </si>
  <si>
    <t>MY</t>
  </si>
  <si>
    <t>Maldives</t>
  </si>
  <si>
    <t>MV</t>
  </si>
  <si>
    <t>Mali</t>
  </si>
  <si>
    <t>ML</t>
  </si>
  <si>
    <t>Malta</t>
  </si>
  <si>
    <t>MT</t>
  </si>
  <si>
    <t>Marshall Islands</t>
  </si>
  <si>
    <t>MH</t>
  </si>
  <si>
    <t>Martinique</t>
  </si>
  <si>
    <t>MQ</t>
  </si>
  <si>
    <t>Mauritania</t>
  </si>
  <si>
    <t>MR</t>
  </si>
  <si>
    <t>Mauritius</t>
  </si>
  <si>
    <t>MU</t>
  </si>
  <si>
    <t>Mayotte</t>
  </si>
  <si>
    <t>YT</t>
  </si>
  <si>
    <t>Mexico</t>
  </si>
  <si>
    <t>MX</t>
  </si>
  <si>
    <t>Micronesia</t>
  </si>
  <si>
    <t>FM</t>
  </si>
  <si>
    <t>Moldova</t>
  </si>
  <si>
    <t>MD</t>
  </si>
  <si>
    <t>Monaco</t>
  </si>
  <si>
    <t>MC</t>
  </si>
  <si>
    <t>Mongolia</t>
  </si>
  <si>
    <t>MN</t>
  </si>
  <si>
    <t>Montenegro</t>
  </si>
  <si>
    <t>ME</t>
  </si>
  <si>
    <t>Montserrat</t>
  </si>
  <si>
    <t>MS</t>
  </si>
  <si>
    <t>Morocco</t>
  </si>
  <si>
    <t>MA</t>
  </si>
  <si>
    <t>Mozambique</t>
  </si>
  <si>
    <t>MZ</t>
  </si>
  <si>
    <t>Namibia</t>
  </si>
  <si>
    <t>NA</t>
  </si>
  <si>
    <t>Nauru</t>
  </si>
  <si>
    <t>NR</t>
  </si>
  <si>
    <t>Nepal</t>
  </si>
  <si>
    <t>NP</t>
  </si>
  <si>
    <t>Netherlands</t>
  </si>
  <si>
    <t>NL</t>
  </si>
  <si>
    <t>New Caledonia</t>
  </si>
  <si>
    <t>NC</t>
  </si>
  <si>
    <t>New Zealand</t>
  </si>
  <si>
    <t>NZ</t>
  </si>
  <si>
    <t>Nicaragua</t>
  </si>
  <si>
    <t>NI</t>
  </si>
  <si>
    <t>Niger</t>
  </si>
  <si>
    <t>NE</t>
  </si>
  <si>
    <t>Nigeria</t>
  </si>
  <si>
    <t>NG</t>
  </si>
  <si>
    <t>Niue</t>
  </si>
  <si>
    <t>NU</t>
  </si>
  <si>
    <t>Norfolk Island</t>
  </si>
  <si>
    <t>NF</t>
  </si>
  <si>
    <t>Northern Mariana Islands</t>
  </si>
  <si>
    <t>MP</t>
  </si>
  <si>
    <t>Norway</t>
  </si>
  <si>
    <t>NO</t>
  </si>
  <si>
    <t>Oman</t>
  </si>
  <si>
    <t>OM</t>
  </si>
  <si>
    <t>Pakistan</t>
  </si>
  <si>
    <t>PK</t>
  </si>
  <si>
    <t>Palau</t>
  </si>
  <si>
    <t>PW</t>
  </si>
  <si>
    <t>PS</t>
  </si>
  <si>
    <t>Panama</t>
  </si>
  <si>
    <t>PA</t>
  </si>
  <si>
    <t>Papua New Guinea</t>
  </si>
  <si>
    <t>PG</t>
  </si>
  <si>
    <t>Paraguay</t>
  </si>
  <si>
    <t>PY</t>
  </si>
  <si>
    <t>Peru</t>
  </si>
  <si>
    <t>PE</t>
  </si>
  <si>
    <t>Philippines</t>
  </si>
  <si>
    <t>PH</t>
  </si>
  <si>
    <t>PN</t>
  </si>
  <si>
    <t>Poland</t>
  </si>
  <si>
    <t>PL</t>
  </si>
  <si>
    <t>Portugal</t>
  </si>
  <si>
    <t>PT</t>
  </si>
  <si>
    <t>Puerto Rico</t>
  </si>
  <si>
    <t>PR</t>
  </si>
  <si>
    <t>Qatar</t>
  </si>
  <si>
    <t>QA</t>
  </si>
  <si>
    <t>Reunion</t>
  </si>
  <si>
    <t>RE</t>
  </si>
  <si>
    <t>Romania</t>
  </si>
  <si>
    <t>RO</t>
  </si>
  <si>
    <t>Russia</t>
  </si>
  <si>
    <t>RU</t>
  </si>
  <si>
    <t>Rwanda</t>
  </si>
  <si>
    <t>RW</t>
  </si>
  <si>
    <t>Saint Barthelemy</t>
  </si>
  <si>
    <t>BL</t>
  </si>
  <si>
    <t>Saint Kitts and Nevis</t>
  </si>
  <si>
    <t>KN</t>
  </si>
  <si>
    <t>Saint Lucia</t>
  </si>
  <si>
    <t>LC</t>
  </si>
  <si>
    <t>Saint Martin</t>
  </si>
  <si>
    <t>MF</t>
  </si>
  <si>
    <t>PM</t>
  </si>
  <si>
    <t>Saint Vincent and the Grenadines</t>
  </si>
  <si>
    <t>VC</t>
  </si>
  <si>
    <t>Samoa</t>
  </si>
  <si>
    <t>WS</t>
  </si>
  <si>
    <t>San Marino</t>
  </si>
  <si>
    <t>SM</t>
  </si>
  <si>
    <t>ST</t>
  </si>
  <si>
    <t>Saudi Arabia</t>
  </si>
  <si>
    <t>SA</t>
  </si>
  <si>
    <t>Senegal</t>
  </si>
  <si>
    <t>SN</t>
  </si>
  <si>
    <t>Serbia</t>
  </si>
  <si>
    <t>RS</t>
  </si>
  <si>
    <t>Seychelles</t>
  </si>
  <si>
    <t>SC</t>
  </si>
  <si>
    <t>Sierra Leone</t>
  </si>
  <si>
    <t>SL</t>
  </si>
  <si>
    <t>Singapore</t>
  </si>
  <si>
    <t>SG</t>
  </si>
  <si>
    <t>Sint Maarten</t>
  </si>
  <si>
    <t>SX</t>
  </si>
  <si>
    <t>Slovakia</t>
  </si>
  <si>
    <t>SK</t>
  </si>
  <si>
    <t>Slovenia</t>
  </si>
  <si>
    <t>SI</t>
  </si>
  <si>
    <t>Solomon Islands</t>
  </si>
  <si>
    <t>SB</t>
  </si>
  <si>
    <t>SO</t>
  </si>
  <si>
    <t>South Africa</t>
  </si>
  <si>
    <t>ZA</t>
  </si>
  <si>
    <t>South Georgia and the South Sandwich Islands</t>
  </si>
  <si>
    <t>GS</t>
  </si>
  <si>
    <t>South Sudan</t>
  </si>
  <si>
    <t>SS</t>
  </si>
  <si>
    <t>Spain</t>
  </si>
  <si>
    <t>ES</t>
  </si>
  <si>
    <t>Sri Lanka</t>
  </si>
  <si>
    <t>LK</t>
  </si>
  <si>
    <t>SD</t>
  </si>
  <si>
    <t>Suriname</t>
  </si>
  <si>
    <t>SR</t>
  </si>
  <si>
    <t>Sweden</t>
  </si>
  <si>
    <t>SE</t>
  </si>
  <si>
    <t>Switzerland</t>
  </si>
  <si>
    <t>CH</t>
  </si>
  <si>
    <t>SY</t>
  </si>
  <si>
    <t>TW</t>
  </si>
  <si>
    <t>Tajikistan</t>
  </si>
  <si>
    <t>TJ</t>
  </si>
  <si>
    <t>TZ</t>
  </si>
  <si>
    <t>Thailand</t>
  </si>
  <si>
    <t>TH</t>
  </si>
  <si>
    <t>Timor-Leste</t>
  </si>
  <si>
    <t>Togo</t>
  </si>
  <si>
    <t>TG</t>
  </si>
  <si>
    <t>Tokelau</t>
  </si>
  <si>
    <t>TK</t>
  </si>
  <si>
    <t>Tonga</t>
  </si>
  <si>
    <t>TO</t>
  </si>
  <si>
    <t>Trinidad and Tobago</t>
  </si>
  <si>
    <t>TT</t>
  </si>
  <si>
    <t>Tunisia</t>
  </si>
  <si>
    <t>TN</t>
  </si>
  <si>
    <t>Turkey</t>
  </si>
  <si>
    <t>TR</t>
  </si>
  <si>
    <t>Turkmenistan</t>
  </si>
  <si>
    <t>TM</t>
  </si>
  <si>
    <t>TC</t>
  </si>
  <si>
    <t>Tuvalu</t>
  </si>
  <si>
    <t>TV</t>
  </si>
  <si>
    <t>Uganda</t>
  </si>
  <si>
    <t>UG</t>
  </si>
  <si>
    <t>Ukraine</t>
  </si>
  <si>
    <t>UA</t>
  </si>
  <si>
    <t>United Arab Emirates</t>
  </si>
  <si>
    <t>AE</t>
  </si>
  <si>
    <t>United Kingdom</t>
  </si>
  <si>
    <t>GB</t>
  </si>
  <si>
    <t>US</t>
  </si>
  <si>
    <t>Uruguay</t>
  </si>
  <si>
    <t>UY</t>
  </si>
  <si>
    <t>Uzbekistan</t>
  </si>
  <si>
    <t>UZ</t>
  </si>
  <si>
    <t>Vanuatu</t>
  </si>
  <si>
    <t>VU</t>
  </si>
  <si>
    <t>Venezuela</t>
  </si>
  <si>
    <t>VE</t>
  </si>
  <si>
    <t>Vietnam</t>
  </si>
  <si>
    <t>VN</t>
  </si>
  <si>
    <t>VG</t>
  </si>
  <si>
    <t>VI</t>
  </si>
  <si>
    <t>WF</t>
  </si>
  <si>
    <t>Western Sahara</t>
  </si>
  <si>
    <t>EH</t>
  </si>
  <si>
    <t>YE</t>
  </si>
  <si>
    <t>Zambia</t>
  </si>
  <si>
    <t>ZM</t>
  </si>
  <si>
    <t>ZW</t>
  </si>
  <si>
    <t>Other</t>
  </si>
  <si>
    <t>N/A</t>
  </si>
  <si>
    <t>Yes</t>
  </si>
  <si>
    <t>No</t>
  </si>
  <si>
    <t>Customer funds</t>
  </si>
  <si>
    <t>Proprietary funds</t>
  </si>
  <si>
    <t>Both</t>
  </si>
  <si>
    <t>Arbitrage</t>
  </si>
  <si>
    <t>Investing (proprietary)</t>
  </si>
  <si>
    <t>Investing (client funds)</t>
  </si>
  <si>
    <t>Trading (proprietary)</t>
  </si>
  <si>
    <t>Trading (client funds)</t>
  </si>
  <si>
    <t>Broker/Dealer related activities (acting on behalf of others)</t>
  </si>
  <si>
    <t>Liquidity</t>
  </si>
  <si>
    <t>Market making</t>
  </si>
  <si>
    <t>Hedging</t>
  </si>
  <si>
    <t>Payment processing related activities</t>
  </si>
  <si>
    <t>Liquidating crypto funds (mining proceeds, investment, services/goods…)</t>
  </si>
  <si>
    <t>Liquidating crypto funds (client funds)</t>
  </si>
  <si>
    <t>ICO related activity (liquidating funds from an ICO)</t>
  </si>
  <si>
    <t>Merchant related activites</t>
  </si>
  <si>
    <t>Accepting donations</t>
  </si>
  <si>
    <t>Reseller</t>
  </si>
  <si>
    <t>Trust</t>
  </si>
  <si>
    <t>Intended 
account
activity,
volumes and
frequencies</t>
  </si>
  <si>
    <t>Commerce of arts, luxury items (cars, boats, planes)</t>
  </si>
  <si>
    <t>not mandatory field/text box</t>
  </si>
  <si>
    <t>text box/mandatory</t>
  </si>
  <si>
    <t>field formated for dates/mandatory</t>
  </si>
  <si>
    <t>dropdown/mandatory</t>
  </si>
  <si>
    <t>more than 10m</t>
  </si>
  <si>
    <t>more than 1000</t>
  </si>
  <si>
    <t>General</t>
  </si>
  <si>
    <t>Questionnaire</t>
  </si>
  <si>
    <t>Worksheet</t>
  </si>
  <si>
    <t>FieldName</t>
  </si>
  <si>
    <t>FieldCode</t>
  </si>
  <si>
    <t>ValueList</t>
  </si>
  <si>
    <t>CompanyLegalType</t>
  </si>
  <si>
    <t>from 100k to 500k</t>
  </si>
  <si>
    <t>from 500k to 1m</t>
  </si>
  <si>
    <t>from 1m to 10m</t>
  </si>
  <si>
    <t>under 10k</t>
  </si>
  <si>
    <t>from 10k to 50k</t>
  </si>
  <si>
    <t>from 50k to 100k</t>
  </si>
  <si>
    <t>under 10</t>
  </si>
  <si>
    <t>10 - 50</t>
  </si>
  <si>
    <t>50 - 100</t>
  </si>
  <si>
    <t>100 - 1000</t>
  </si>
  <si>
    <t>EstAmtDepositPerYearFiat</t>
  </si>
  <si>
    <t>EstAmtDepositPerYearCrypto</t>
  </si>
  <si>
    <t>EstNumDepositPerYearFiat</t>
  </si>
  <si>
    <t>EstNumDepositPerYearCrypto</t>
  </si>
  <si>
    <t>EstAmtWithdrPerYearFiat</t>
  </si>
  <si>
    <t>EstAmtWithdrPerYearCrypto</t>
  </si>
  <si>
    <t>EstNumWithdrPerYearFiat</t>
  </si>
  <si>
    <t>EstNumWithdrPerYearCrypto</t>
  </si>
  <si>
    <t>Contact person and date</t>
  </si>
  <si>
    <t>Corporate Account Opening Questionnaire 
Additional Information</t>
  </si>
  <si>
    <t>Active in or offering service to particular industries</t>
  </si>
  <si>
    <t>Comment/Instructions</t>
  </si>
  <si>
    <t>SWIFT / BIC / ROUTING NUMBER / SORT CODE</t>
  </si>
  <si>
    <t>Personal ID card</t>
  </si>
  <si>
    <t xml:space="preserve">City </t>
  </si>
  <si>
    <t>Post Code</t>
  </si>
  <si>
    <t>Address</t>
  </si>
  <si>
    <t xml:space="preserve">Nationality </t>
  </si>
  <si>
    <t>Surname</t>
  </si>
  <si>
    <t>Name</t>
  </si>
  <si>
    <t>Representatives</t>
  </si>
  <si>
    <t>Drivers License</t>
  </si>
  <si>
    <t>Passport</t>
  </si>
  <si>
    <t>RepresentativeIDType</t>
  </si>
  <si>
    <t>BankAccountType</t>
  </si>
  <si>
    <t>Country of Residence</t>
  </si>
  <si>
    <t xml:space="preserve">Account with Payment Services Provider </t>
  </si>
  <si>
    <t>Bank Account</t>
  </si>
  <si>
    <t xml:space="preserve">Account Number or IBAN </t>
  </si>
  <si>
    <t>Account Type</t>
  </si>
  <si>
    <t>Bank or Payment Services Provider (Name)</t>
  </si>
  <si>
    <t>Account location (Country)</t>
  </si>
  <si>
    <t>Bank Accounts</t>
  </si>
  <si>
    <t>Additional Information</t>
  </si>
  <si>
    <t>Company Information and Intended Activity</t>
  </si>
  <si>
    <t>Corporate Account Opening Questionnaire 
AML Policy Information</t>
  </si>
  <si>
    <t>Comment (1b)</t>
  </si>
  <si>
    <t>Comment (2e)</t>
  </si>
  <si>
    <t>Comment (3)</t>
  </si>
  <si>
    <t>Comment (4)</t>
  </si>
  <si>
    <t>Comment (5a)</t>
  </si>
  <si>
    <t>Comment (6)</t>
  </si>
  <si>
    <t>Comment (10)</t>
  </si>
  <si>
    <t>Comment (9)</t>
  </si>
  <si>
    <t>Comment (8)</t>
  </si>
  <si>
    <t>Comment (7d)</t>
  </si>
  <si>
    <t>Explanation</t>
  </si>
  <si>
    <t>Corporate Account Opening Questionnaire 
Introduction</t>
  </si>
  <si>
    <t>Sheet 2</t>
  </si>
  <si>
    <t>Sheet 3</t>
  </si>
  <si>
    <t>Sheet 4</t>
  </si>
  <si>
    <t>ContactPersonFullName</t>
  </si>
  <si>
    <t>ContactPersonTitle</t>
  </si>
  <si>
    <t>ContactPersonEmail</t>
  </si>
  <si>
    <t>ContactPersonPhone</t>
  </si>
  <si>
    <t>QuestValidityDate</t>
  </si>
  <si>
    <t>CompanyLegalName</t>
  </si>
  <si>
    <t>CompanyBusinessName</t>
  </si>
  <si>
    <t>CompanyRegisterNumber</t>
  </si>
  <si>
    <t>CompanyDateOfInc</t>
  </si>
  <si>
    <t>CompanyTaxID</t>
  </si>
  <si>
    <t>Country of incorporation</t>
  </si>
  <si>
    <t>CompanyCountryOfInc</t>
  </si>
  <si>
    <t>CompanyPrincPlaceOfBus</t>
  </si>
  <si>
    <t>CompanyWebiste</t>
  </si>
  <si>
    <t>CompanySupervAuth</t>
  </si>
  <si>
    <t>CompanyLinkToPublicDB</t>
  </si>
  <si>
    <t>IntendedOnBehalfOfOth</t>
  </si>
  <si>
    <t>IntendedAccPurpDesc</t>
  </si>
  <si>
    <t>Additional information on intended activity (not mandatory)</t>
  </si>
  <si>
    <t>AddInfoOnIntendedAct</t>
  </si>
  <si>
    <t>AML Policy</t>
  </si>
  <si>
    <t>ActOrServAdult</t>
  </si>
  <si>
    <t>ActOrServGambling</t>
  </si>
  <si>
    <t>ActOrServArms</t>
  </si>
  <si>
    <t>ActOrServBarsNight</t>
  </si>
  <si>
    <t>ActOrServArtsLux</t>
  </si>
  <si>
    <t>ActOrServMinMetals</t>
  </si>
  <si>
    <t>ActOrServAlcTobacco</t>
  </si>
  <si>
    <t>ActOrServCloudMin</t>
  </si>
  <si>
    <t>ActOrServCannabis</t>
  </si>
  <si>
    <t>ServResNorthKorea</t>
  </si>
  <si>
    <t>ServResSyria</t>
  </si>
  <si>
    <t>ServResIran</t>
  </si>
  <si>
    <t>ServResSudanSouthSudan</t>
  </si>
  <si>
    <t>ServResSomalia</t>
  </si>
  <si>
    <t>SevResMaynmar</t>
  </si>
  <si>
    <t>ServResCuba</t>
  </si>
  <si>
    <t>ServResYemen</t>
  </si>
  <si>
    <t>ServResZimbabwe</t>
  </si>
  <si>
    <t>CompUBOLaundTerrYesNo</t>
  </si>
  <si>
    <t>CompUBOLaundTerrDesc</t>
  </si>
  <si>
    <t>AMLUpToDateWithLegislation</t>
  </si>
  <si>
    <t>AMLIndependentAudit</t>
  </si>
  <si>
    <t>AMLCommentOnIndAudit</t>
  </si>
  <si>
    <t>AMLIncludesCDDEDD</t>
  </si>
  <si>
    <t>AMLIncludesLegislationInfo</t>
  </si>
  <si>
    <t>AMLIncludesCDDSpec</t>
  </si>
  <si>
    <t>AMLIncludesEDDSpec</t>
  </si>
  <si>
    <t>AMLIncludesUBOIdentification</t>
  </si>
  <si>
    <t>AMLIncludesUBOVerification</t>
  </si>
  <si>
    <t>AMLIncludesProxRepVerification</t>
  </si>
  <si>
    <t>AMLCommentProxRepVerification</t>
  </si>
  <si>
    <t>AMLIncludesCustAccPolicy</t>
  </si>
  <si>
    <t>AMLCommentCustAccPolicy</t>
  </si>
  <si>
    <t>AMLIncludesPeriodicReview</t>
  </si>
  <si>
    <t>AMLCommentPeriodicReview</t>
  </si>
  <si>
    <t>AMLIncludesRiskAssesment</t>
  </si>
  <si>
    <t>AMLRiskAssesmentLevels</t>
  </si>
  <si>
    <t>AMLCommentRiskAssLevels</t>
  </si>
  <si>
    <t>AMLIncludesUnderlyingProc</t>
  </si>
  <si>
    <t>AMLCommentUnderlyingProc</t>
  </si>
  <si>
    <t>AMLIncludesSanctionsScreening</t>
  </si>
  <si>
    <t>AMLIncludesSanctionsBlackL</t>
  </si>
  <si>
    <t>AMLIncludesOngoingScreening</t>
  </si>
  <si>
    <t>AMLIncludesPEPScreening</t>
  </si>
  <si>
    <t>AMLIncludesPEPDDLevel</t>
  </si>
  <si>
    <t>AMLCommentPEPDDLevel</t>
  </si>
  <si>
    <t>AMLIncludesSuspActReport</t>
  </si>
  <si>
    <t>AMLCommentSuspActReport</t>
  </si>
  <si>
    <t>AMLIncludesAMLCFTTraining</t>
  </si>
  <si>
    <t>AMLCommentAMLCFTTraining</t>
  </si>
  <si>
    <t>AMLIncludesTM</t>
  </si>
  <si>
    <t>AMLCommentTM</t>
  </si>
  <si>
    <t>AMLExplanation01</t>
  </si>
  <si>
    <t>AMLExplanation02</t>
  </si>
  <si>
    <t>AMLExplanation03</t>
  </si>
  <si>
    <t>AMLExplanation04</t>
  </si>
  <si>
    <t>AMLExplanation05</t>
  </si>
  <si>
    <t>Describe account purpose and intended flow of funds through Bitstamp account.</t>
  </si>
  <si>
    <t>Comment (not mandatory)</t>
  </si>
  <si>
    <t>Head of AML or MLRO or CCO</t>
  </si>
  <si>
    <t>Afgan</t>
  </si>
  <si>
    <t>Albanian</t>
  </si>
  <si>
    <t>Algerian</t>
  </si>
  <si>
    <t>Andorran</t>
  </si>
  <si>
    <t>Angolan</t>
  </si>
  <si>
    <t>Antugua and Barbudan</t>
  </si>
  <si>
    <t>Argenitine</t>
  </si>
  <si>
    <t>Armenian</t>
  </si>
  <si>
    <t>Australian</t>
  </si>
  <si>
    <t>Austrian</t>
  </si>
  <si>
    <t>Azerbaijani</t>
  </si>
  <si>
    <t>Bahamas</t>
  </si>
  <si>
    <t>Bahamian</t>
  </si>
  <si>
    <t>Bahraini</t>
  </si>
  <si>
    <t>Bangladeshi</t>
  </si>
  <si>
    <t>Barbadian</t>
  </si>
  <si>
    <t>Belarusian</t>
  </si>
  <si>
    <t>Belgian</t>
  </si>
  <si>
    <t>Belizean</t>
  </si>
  <si>
    <t>Beninese</t>
  </si>
  <si>
    <t>Bhutanese</t>
  </si>
  <si>
    <t>Bolivians</t>
  </si>
  <si>
    <t>Bosnian and Hercegovinan</t>
  </si>
  <si>
    <t>Motswana</t>
  </si>
  <si>
    <t>Brazilian</t>
  </si>
  <si>
    <t>Bruneian</t>
  </si>
  <si>
    <t>Bulgarian</t>
  </si>
  <si>
    <t>Bukinabes</t>
  </si>
  <si>
    <t>Burundian</t>
  </si>
  <si>
    <t>Cambodian</t>
  </si>
  <si>
    <t>Cameroonian</t>
  </si>
  <si>
    <t>Canadian</t>
  </si>
  <si>
    <t>Cape Verde</t>
  </si>
  <si>
    <t>Cape Verdan</t>
  </si>
  <si>
    <t>Central African Citizenship</t>
  </si>
  <si>
    <t>Chadian</t>
  </si>
  <si>
    <t>Chilean</t>
  </si>
  <si>
    <t>Chinese</t>
  </si>
  <si>
    <t>Colombian</t>
  </si>
  <si>
    <t>Comorian</t>
  </si>
  <si>
    <t>Congolaise (RDC)</t>
  </si>
  <si>
    <t>Congolaise</t>
  </si>
  <si>
    <t>Costa Rican</t>
  </si>
  <si>
    <t>Ivorienne</t>
  </si>
  <si>
    <t>Croatian</t>
  </si>
  <si>
    <t>Cuban</t>
  </si>
  <si>
    <t>Cypriot</t>
  </si>
  <si>
    <t>Czech Republic</t>
  </si>
  <si>
    <t>Czech</t>
  </si>
  <si>
    <t>Danish</t>
  </si>
  <si>
    <t>Djiboutian</t>
  </si>
  <si>
    <t>Dominican</t>
  </si>
  <si>
    <t>Dominicana</t>
  </si>
  <si>
    <t>Ecuadorian</t>
  </si>
  <si>
    <t>Egyptian</t>
  </si>
  <si>
    <t>Salvadorean</t>
  </si>
  <si>
    <t>Equatoguinean </t>
  </si>
  <si>
    <t>Eritrean</t>
  </si>
  <si>
    <t>Estonian</t>
  </si>
  <si>
    <t>Eswatini (Swaziland)</t>
  </si>
  <si>
    <t>Swazi</t>
  </si>
  <si>
    <t>Ethiopian</t>
  </si>
  <si>
    <t>Fijian</t>
  </si>
  <si>
    <t>Finnish</t>
  </si>
  <si>
    <t>French</t>
  </si>
  <si>
    <t>Gabonese</t>
  </si>
  <si>
    <t>Georgian</t>
  </si>
  <si>
    <t>German</t>
  </si>
  <si>
    <t>Ghanian</t>
  </si>
  <si>
    <t>Greek</t>
  </si>
  <si>
    <t>Grenadian</t>
  </si>
  <si>
    <t>Guatemalan</t>
  </si>
  <si>
    <t>Guinean</t>
  </si>
  <si>
    <t>Guinea-Bissau National</t>
  </si>
  <si>
    <t>Guyanese</t>
  </si>
  <si>
    <t>Haitian</t>
  </si>
  <si>
    <t>Honduran</t>
  </si>
  <si>
    <t>Hungarian</t>
  </si>
  <si>
    <t>Icelander</t>
  </si>
  <si>
    <t>Indian</t>
  </si>
  <si>
    <t>Indonesian</t>
  </si>
  <si>
    <t>Iran, Islamic Republic of</t>
  </si>
  <si>
    <t>Iranian</t>
  </si>
  <si>
    <t>Iraqi</t>
  </si>
  <si>
    <t>Irish</t>
  </si>
  <si>
    <t>Israeli</t>
  </si>
  <si>
    <t>Italian</t>
  </si>
  <si>
    <t>Jamaican</t>
  </si>
  <si>
    <t>Japanese</t>
  </si>
  <si>
    <t>Jordanian</t>
  </si>
  <si>
    <t>Kazakhi</t>
  </si>
  <si>
    <t>Kenyan</t>
  </si>
  <si>
    <t>Kiribati Citizenship</t>
  </si>
  <si>
    <t>Kosovar</t>
  </si>
  <si>
    <t>Kuwaiti</t>
  </si>
  <si>
    <t>Kyrgyzs</t>
  </si>
  <si>
    <t>Lao</t>
  </si>
  <si>
    <t>Latvian</t>
  </si>
  <si>
    <t>Lebanese</t>
  </si>
  <si>
    <t>Lesotho (Mosotho)</t>
  </si>
  <si>
    <t>Liberian</t>
  </si>
  <si>
    <t>Libyan</t>
  </si>
  <si>
    <t>Liechtensteiners</t>
  </si>
  <si>
    <t>Lithuanian</t>
  </si>
  <si>
    <t>Luxembourgeoise</t>
  </si>
  <si>
    <t>Malagasy</t>
  </si>
  <si>
    <t>Malawian</t>
  </si>
  <si>
    <t>Malaysian</t>
  </si>
  <si>
    <t>Maldivian</t>
  </si>
  <si>
    <t>Malian</t>
  </si>
  <si>
    <t>Maltese</t>
  </si>
  <si>
    <t>Marshallese Citizenship</t>
  </si>
  <si>
    <t>Mauritienne</t>
  </si>
  <si>
    <t>Citizen of Mauritius</t>
  </si>
  <si>
    <t>Mexican</t>
  </si>
  <si>
    <t>Micronesia, Federated States of</t>
  </si>
  <si>
    <t>Micronesian</t>
  </si>
  <si>
    <t>Moldovan</t>
  </si>
  <si>
    <t>Monegasque</t>
  </si>
  <si>
    <t>Mongolian</t>
  </si>
  <si>
    <t>Montenegrian</t>
  </si>
  <si>
    <t>Moroccan</t>
  </si>
  <si>
    <t>Mozambiquan</t>
  </si>
  <si>
    <t>Burmese</t>
  </si>
  <si>
    <t>Namibian</t>
  </si>
  <si>
    <t>Nauruan</t>
  </si>
  <si>
    <t>Nepalese</t>
  </si>
  <si>
    <t>Dutch</t>
  </si>
  <si>
    <t>New Zealander</t>
  </si>
  <si>
    <t>Nicaraguan</t>
  </si>
  <si>
    <t>Nigerien</t>
  </si>
  <si>
    <t>Nigerian</t>
  </si>
  <si>
    <t>North Korea, Democratic People's Republic of Korea</t>
  </si>
  <si>
    <t>North Korean</t>
  </si>
  <si>
    <t>North Macedonia</t>
  </si>
  <si>
    <t>Macedonian</t>
  </si>
  <si>
    <t>Norwegian</t>
  </si>
  <si>
    <t>Omani</t>
  </si>
  <si>
    <t>Pakistani</t>
  </si>
  <si>
    <t>Palauan</t>
  </si>
  <si>
    <t>Palestine, State of</t>
  </si>
  <si>
    <t>Palestinian</t>
  </si>
  <si>
    <t>Panamanian</t>
  </si>
  <si>
    <t>Papua New Guinean</t>
  </si>
  <si>
    <t>Paraguayan</t>
  </si>
  <si>
    <t>Peruvian</t>
  </si>
  <si>
    <t>Filipino</t>
  </si>
  <si>
    <t>Polish</t>
  </si>
  <si>
    <t>Portugese</t>
  </si>
  <si>
    <t>Qatari</t>
  </si>
  <si>
    <t>Romanian</t>
  </si>
  <si>
    <t>Russian</t>
  </si>
  <si>
    <t>Rwandan</t>
  </si>
  <si>
    <t>St. Kitts and Nevis</t>
  </si>
  <si>
    <t>Saint Lucian</t>
  </si>
  <si>
    <t>Vincentian</t>
  </si>
  <si>
    <t>Samoan</t>
  </si>
  <si>
    <t>Sammarinese</t>
  </si>
  <si>
    <t>São Tomé and Príncipe</t>
  </si>
  <si>
    <t>Sao-Tomense</t>
  </si>
  <si>
    <t>Saudi Arabian</t>
  </si>
  <si>
    <t>Senegalese</t>
  </si>
  <si>
    <t>Serbian</t>
  </si>
  <si>
    <t>Seychellois</t>
  </si>
  <si>
    <t>Sierra Leonean</t>
  </si>
  <si>
    <t>Singaporean</t>
  </si>
  <si>
    <t>Slovakian</t>
  </si>
  <si>
    <t>Slovenian</t>
  </si>
  <si>
    <t>Somalian</t>
  </si>
  <si>
    <t>South African</t>
  </si>
  <si>
    <t>South Korea, Republic of Korea</t>
  </si>
  <si>
    <t>South Korean</t>
  </si>
  <si>
    <t>South Sudanese</t>
  </si>
  <si>
    <t>Spanish</t>
  </si>
  <si>
    <t>Sri Lankan</t>
  </si>
  <si>
    <t>Sudanese</t>
  </si>
  <si>
    <t>Surinaamse</t>
  </si>
  <si>
    <t>Swedish</t>
  </si>
  <si>
    <t>Swiss</t>
  </si>
  <si>
    <t>Syrian</t>
  </si>
  <si>
    <t>Taiwan, Republic of China</t>
  </si>
  <si>
    <t>Republic of China</t>
  </si>
  <si>
    <t>Tajikistani</t>
  </si>
  <si>
    <t>Tanzania, United Republic of</t>
  </si>
  <si>
    <t>Tanzanian</t>
  </si>
  <si>
    <t>Thai</t>
  </si>
  <si>
    <t>Gambia, Republic of the</t>
  </si>
  <si>
    <t>Gambian</t>
  </si>
  <si>
    <t>East Timorese</t>
  </si>
  <si>
    <t>Togolaise</t>
  </si>
  <si>
    <t>Tongan</t>
  </si>
  <si>
    <t>Trinidadian</t>
  </si>
  <si>
    <t>Tunisian</t>
  </si>
  <si>
    <t>Turkish</t>
  </si>
  <si>
    <t>Tuvaluan</t>
  </si>
  <si>
    <t>Ugandan</t>
  </si>
  <si>
    <t>Ukrainian</t>
  </si>
  <si>
    <t>Emirati</t>
  </si>
  <si>
    <t>British</t>
  </si>
  <si>
    <t>United States of America</t>
  </si>
  <si>
    <t>American</t>
  </si>
  <si>
    <t>Uruguayan</t>
  </si>
  <si>
    <t>Uzbeki</t>
  </si>
  <si>
    <t>Vanezuelan</t>
  </si>
  <si>
    <t>Vietnamese</t>
  </si>
  <si>
    <t>Yemeni</t>
  </si>
  <si>
    <t>Zambian</t>
  </si>
  <si>
    <t>Zimbabwean</t>
  </si>
  <si>
    <t>AX</t>
  </si>
  <si>
    <t>Antigua &amp; Barbuda</t>
  </si>
  <si>
    <t>British Virgin Islands</t>
  </si>
  <si>
    <t>Brunei Darussalam</t>
  </si>
  <si>
    <t>Ivory Coast</t>
  </si>
  <si>
    <t>Swaziland</t>
  </si>
  <si>
    <t>Falkland Islands (Malvinas)</t>
  </si>
  <si>
    <t>Gambia</t>
  </si>
  <si>
    <t>Heard &amp; McDonald Islands</t>
  </si>
  <si>
    <t>Korea, Democratic People's Republic of</t>
  </si>
  <si>
    <t>Lao People's Democratic Republic</t>
  </si>
  <si>
    <t>Moldova, Republic of</t>
  </si>
  <si>
    <t>Pitcairn</t>
  </si>
  <si>
    <t>St. Helena, Ascension and Tristan da Cunha</t>
  </si>
  <si>
    <t>St. Pierre &amp; Miquelon</t>
  </si>
  <si>
    <t>St. Vincent &amp; the Grenadines</t>
  </si>
  <si>
    <t>Sao Tome &amp; Principe</t>
  </si>
  <si>
    <t>Korea, Republic of</t>
  </si>
  <si>
    <t>Svalbard &amp; Jan Mayen Islands</t>
  </si>
  <si>
    <t>Taiwan, Province of China</t>
  </si>
  <si>
    <t>Trinidad &amp; Tobago</t>
  </si>
  <si>
    <t>Turks &amp; Caicos Islands</t>
  </si>
  <si>
    <t>Vatican City State (Holy See)</t>
  </si>
  <si>
    <t>Wallis &amp; Futuna Islands</t>
  </si>
  <si>
    <t>Nationality - Country</t>
  </si>
  <si>
    <t>Adjective</t>
  </si>
  <si>
    <t>Code</t>
  </si>
  <si>
    <t>Aland</t>
  </si>
  <si>
    <t>Bonaire, Saba and Sint Eustatius</t>
  </si>
  <si>
    <t>TP</t>
  </si>
  <si>
    <t>East Timor</t>
  </si>
  <si>
    <t>Myanmar</t>
  </si>
  <si>
    <t>Palestine</t>
  </si>
  <si>
    <t>Syrian Arab Republic</t>
  </si>
  <si>
    <t>Country List (Verification)</t>
  </si>
  <si>
    <t>Version</t>
  </si>
  <si>
    <t>Document Version</t>
  </si>
  <si>
    <t>Sheet</t>
  </si>
  <si>
    <t>Company Info, Intended Activity</t>
  </si>
  <si>
    <t>RepresentativesNoUBOs25</t>
  </si>
  <si>
    <t>AMLHeadMLROCCOName</t>
  </si>
  <si>
    <t>Introduction</t>
  </si>
  <si>
    <t>EXPORT WORKSHEET</t>
  </si>
  <si>
    <t>This worksheet is populated automatically and is locked for changes.</t>
  </si>
  <si>
    <t>If requested by Bitstamp to send a csv version, pls. have this worksheet</t>
  </si>
  <si>
    <t>active (open) and use File-Save As option selecting *.csv as file type!</t>
  </si>
  <si>
    <t>Intended account purpose (primary)</t>
  </si>
  <si>
    <t>IntendedAccPurposePrimary</t>
  </si>
  <si>
    <t>IntendedAccPurposeSecondary</t>
  </si>
  <si>
    <t>Phone</t>
  </si>
  <si>
    <t>E-mail</t>
  </si>
  <si>
    <t>Title / Function</t>
  </si>
  <si>
    <t xml:space="preserve"> Value - Upper Limit</t>
  </si>
  <si>
    <t>Birthday Validation</t>
  </si>
  <si>
    <t>Estimated amount deposited per year in fiat currencies (USD, EUR, GBP)</t>
  </si>
  <si>
    <t>Estimated amount withdrawn per year in fiat currencies (USD, EUR, GBP)</t>
  </si>
  <si>
    <t>Est. number of withdrawals per year in fiat curr. (USD, EUR, GBP) - withdr. frequency</t>
  </si>
  <si>
    <t>Social Security Number
(if applicable)</t>
  </si>
  <si>
    <t>Intended account purpose (secondary - optional)</t>
  </si>
  <si>
    <t>Intended account purpose (tertiary - optional)</t>
  </si>
  <si>
    <t>Thank you for joining Bitstamp! We are obliged to ask you to fill in this questionnaire in order to comply with our regulatory requirements.</t>
  </si>
  <si>
    <t>Please provide basic company information along with information regarding intended activity, volumes and frequencies of transactions.</t>
  </si>
  <si>
    <t>Question/Request</t>
  </si>
  <si>
    <t>Registration/incorporation number</t>
  </si>
  <si>
    <t>Link to the public database (if applicable, otherwise enter N/A)</t>
  </si>
  <si>
    <t xml:space="preserve">Provide a link with the details of the financial services license your company holds. If none, enter N/A. </t>
  </si>
  <si>
    <t>Estimated number of deposits per year in fiat curr. (USD, EUR, GBP) - deposit frequency</t>
  </si>
  <si>
    <t>Provide description of how the account will be used along with intended flows of funds.</t>
  </si>
  <si>
    <t>Estimate how many times you intend to make a fiat deposit in a year.</t>
  </si>
  <si>
    <t>Estimate how many times you intend to make a crypto deposit in a year.</t>
  </si>
  <si>
    <t>Estimate how many times you intend to make a fiat withdrawal in a year.</t>
  </si>
  <si>
    <t>Estimate how many times you intend to make a crypto withdrawal in a year.</t>
  </si>
  <si>
    <t>Select 'Yes' if you have underlying customers and will execute orders on behalf of them.</t>
  </si>
  <si>
    <t xml:space="preserve">Are you active in or offer services to any of the following industries? </t>
  </si>
  <si>
    <t>Bars/Night clubs</t>
  </si>
  <si>
    <t>Commerce and manufacturing of alcohol and tobacco</t>
  </si>
  <si>
    <t>Cannabis-related industry</t>
  </si>
  <si>
    <t>Please provide an answer for each particular industry.</t>
  </si>
  <si>
    <t>Please provide an answer for each particular country.</t>
  </si>
  <si>
    <t>Offering services to residents of particular countries</t>
  </si>
  <si>
    <t>Money laundering or Terrorist financing</t>
  </si>
  <si>
    <t>If yes, please provide additional information.</t>
  </si>
  <si>
    <r>
      <rPr>
        <b/>
        <i/>
        <sz val="11"/>
        <color theme="1"/>
        <rFont val="Calibri"/>
        <family val="2"/>
        <scheme val="minor"/>
      </rPr>
      <t>If yes</t>
    </r>
    <r>
      <rPr>
        <i/>
        <sz val="11"/>
        <color theme="1"/>
        <rFont val="Calibri"/>
        <family val="2"/>
        <scheme val="minor"/>
      </rPr>
      <t>, please provide additional information below:</t>
    </r>
  </si>
  <si>
    <t>Select the one that best fits your intended activities. If 'Other', please explain below.</t>
  </si>
  <si>
    <t>Please use in case you want to provide additional information related to this section and if you select 'Other' in any dropdown options in the section.</t>
  </si>
  <si>
    <r>
      <rPr>
        <b/>
        <i/>
        <sz val="12"/>
        <color theme="1"/>
        <rFont val="Calibri"/>
        <family val="2"/>
        <scheme val="minor"/>
      </rPr>
      <t>This sheet is mandatory only if the Bitstamp account will be used for depositing client funds and/or acting on behalf of the clients.</t>
    </r>
    <r>
      <rPr>
        <i/>
        <sz val="12"/>
        <color theme="1"/>
        <rFont val="Calibri"/>
        <family val="2"/>
        <scheme val="minor"/>
      </rPr>
      <t xml:space="preserve">
Please provide information regarding your company's AML policy. If you select 'No' or 'N/A' please provide explanation in fields below.
</t>
    </r>
  </si>
  <si>
    <t>Was an independent audit or similar arrangement performed on the AML policy?</t>
  </si>
  <si>
    <t>Comment is not mandatory if 'Yes' is selected.</t>
  </si>
  <si>
    <t>Does the AML policy include information regarding identification of Ultimate Beneficial Owners?</t>
  </si>
  <si>
    <t>Does the AML policy include information regarding verification of the identity of Ultimate Beneficial Owners?</t>
  </si>
  <si>
    <t>Does the AML policy include a Customer acceptance policy and restrictions?</t>
  </si>
  <si>
    <t>Does the AML policy include information regarding AML/CTF training for employees?</t>
  </si>
  <si>
    <t>If any selection is 'No' or 'N/A' please provide an explanation in comments or below:</t>
  </si>
  <si>
    <t>Sincerely, the Bitstamp Team</t>
  </si>
  <si>
    <t>What is the source of the funds that you will deposit to your Bitstamp account?</t>
  </si>
  <si>
    <t>Estimated amount withdrawn per year in crypto</t>
  </si>
  <si>
    <t>Estimated amount deposited per year in crypto</t>
  </si>
  <si>
    <t>Estimated number of deposits per year in crypto - deposit frequency</t>
  </si>
  <si>
    <t>Estimated number of withdrawals per year in crypto - withdrawal frequency</t>
  </si>
  <si>
    <t>Name of supervisory authority (if applicable, otherwise enter N/A)</t>
  </si>
  <si>
    <t>If 'Customer funds' or 'Both' please fill in the AML Policy sheet or provide a signed Wolfsberg questionnaire.</t>
  </si>
  <si>
    <t>Please use in case you would like to provide additional information related to this section and if you select 'Other' and/or 'No' in any dropdown options in the section.</t>
  </si>
  <si>
    <t>Select only if there is a clearly envisioned tertiary purpose, otherwise leave blank.</t>
  </si>
  <si>
    <t>Select only if there is a clearly envisioned secondary purpose, otherwise leave blank.</t>
  </si>
  <si>
    <t>Please provide information regarding bank accounts or payment services institutions that the company intends to use to deposit and withdraw fiat funds (USD, EUR, GBP) to and from the Bitstamp account. If the bank accounts are not yet open, please provide account type, name of the institution and account location. If you would like to explain anything regarding your bank or payment service providers (PSP*) you can enter that information in the comment section below. *PSP offer online services for accepting electronic payments by a variety of payment methods including credit card, bank-based payments such as direct debit, bank transfer, and real-time bank transfer based on online banking.</t>
  </si>
  <si>
    <t>Is the AML policy up to date with the recent AML/CTF legislation in your jurisdiction of business operations?</t>
  </si>
  <si>
    <t>Estimate how much crypto you intend to deposit to the Bitstamp account in a year (USD equivalent value).</t>
  </si>
  <si>
    <t>Estimate how much fiat you intend to deposit to the Bitstamp account in a year (USD equivalent value).</t>
  </si>
  <si>
    <t>Accepting crypto payments for goods/services</t>
  </si>
  <si>
    <t>Estimate how much crypto you intend to withdraw from the Bitstamp account in a year (USD equiv. value).</t>
  </si>
  <si>
    <t>Estimate how much fiat you intend to withdraw from the Bitstamp account in a year (USD equiv. value).</t>
  </si>
  <si>
    <t>IntendedAccPurposeTertiary</t>
  </si>
  <si>
    <t>Tax ID number (if applicable, otherwise enter N/A)</t>
  </si>
  <si>
    <t>Company website (if applicable, otherwise enter N/A)</t>
  </si>
  <si>
    <t>Field background indicating an obligatory field yet to be filled-in.</t>
  </si>
  <si>
    <t>Field background indicating a required data field.</t>
  </si>
  <si>
    <t>Field background indicating an optional field or a field depending on other choices (background will be dynamically changed to light red if obligatory).</t>
  </si>
  <si>
    <t>Please ensure to return a questionnaire without light-red background fields (on AML Policy sheet only if applicable).</t>
  </si>
  <si>
    <t>Current date and system format:</t>
  </si>
  <si>
    <t>This section is reserved for the individual that opening the account on behalf of the company.</t>
  </si>
  <si>
    <t>Date of Birth</t>
  </si>
  <si>
    <t>Questionnaire valid at date (date of submission)</t>
  </si>
  <si>
    <t>Date of incorporation</t>
  </si>
  <si>
    <t>U.S. Minor Outlying Islands</t>
  </si>
  <si>
    <t>U.S. Virgin Islands</t>
  </si>
  <si>
    <t>Registered address</t>
  </si>
  <si>
    <t>Office address</t>
  </si>
  <si>
    <t>CompanyOfficeAddress</t>
  </si>
  <si>
    <t>CompanyRegisterAddress</t>
  </si>
  <si>
    <t>Alabama</t>
  </si>
  <si>
    <t>AK</t>
  </si>
  <si>
    <t>Alaska</t>
  </si>
  <si>
    <t>Arizona</t>
  </si>
  <si>
    <t>Arkansas</t>
  </si>
  <si>
    <t>California</t>
  </si>
  <si>
    <t>Colorado</t>
  </si>
  <si>
    <t>CT</t>
  </si>
  <si>
    <t>Connecticut</t>
  </si>
  <si>
    <t>Delaware</t>
  </si>
  <si>
    <t>DC</t>
  </si>
  <si>
    <t>District of Columbia</t>
  </si>
  <si>
    <t>FL</t>
  </si>
  <si>
    <t>Florida</t>
  </si>
  <si>
    <t>HI</t>
  </si>
  <si>
    <t>Hawaii</t>
  </si>
  <si>
    <t>Idaho</t>
  </si>
  <si>
    <t>Illinois</t>
  </si>
  <si>
    <t>Indiana</t>
  </si>
  <si>
    <t>IA</t>
  </si>
  <si>
    <t>Iowa</t>
  </si>
  <si>
    <t>KS</t>
  </si>
  <si>
    <t>Kansas</t>
  </si>
  <si>
    <t>Kentucky</t>
  </si>
  <si>
    <t>Louisiana</t>
  </si>
  <si>
    <t>Maine</t>
  </si>
  <si>
    <t>Maryland</t>
  </si>
  <si>
    <t>Massachusetts</t>
  </si>
  <si>
    <t>MI</t>
  </si>
  <si>
    <t>Michigan</t>
  </si>
  <si>
    <t>Minnesota</t>
  </si>
  <si>
    <t>Mississippi</t>
  </si>
  <si>
    <t>Missouri</t>
  </si>
  <si>
    <t>Montana</t>
  </si>
  <si>
    <t>Nebraska</t>
  </si>
  <si>
    <t>NV</t>
  </si>
  <si>
    <t>Nevada</t>
  </si>
  <si>
    <t>NH</t>
  </si>
  <si>
    <t>New Hampshire</t>
  </si>
  <si>
    <t>NJ</t>
  </si>
  <si>
    <t>New Jersey</t>
  </si>
  <si>
    <t>NM</t>
  </si>
  <si>
    <t>New Mexico</t>
  </si>
  <si>
    <t>NY</t>
  </si>
  <si>
    <t>New York</t>
  </si>
  <si>
    <t>North Carolina</t>
  </si>
  <si>
    <t>ND</t>
  </si>
  <si>
    <t>North Dakota</t>
  </si>
  <si>
    <t>OH</t>
  </si>
  <si>
    <t>Ohio</t>
  </si>
  <si>
    <t>OK</t>
  </si>
  <si>
    <t>Oklahoma</t>
  </si>
  <si>
    <t>OR</t>
  </si>
  <si>
    <t>Oregon</t>
  </si>
  <si>
    <t>Pennsylvania</t>
  </si>
  <si>
    <t>RI</t>
  </si>
  <si>
    <t>Rhode Island</t>
  </si>
  <si>
    <t>South Carolina</t>
  </si>
  <si>
    <t>South Dakota</t>
  </si>
  <si>
    <t>Tennessee</t>
  </si>
  <si>
    <t>TX</t>
  </si>
  <si>
    <t>Texas</t>
  </si>
  <si>
    <t>UT</t>
  </si>
  <si>
    <t>Utah</t>
  </si>
  <si>
    <t>VT</t>
  </si>
  <si>
    <t>Vermont</t>
  </si>
  <si>
    <t>Virginia</t>
  </si>
  <si>
    <t>WA</t>
  </si>
  <si>
    <t>Washington</t>
  </si>
  <si>
    <t>WV</t>
  </si>
  <si>
    <t>West Virginia</t>
  </si>
  <si>
    <t>WI</t>
  </si>
  <si>
    <t>Wisconsin</t>
  </si>
  <si>
    <t>WY</t>
  </si>
  <si>
    <t>Wyoming</t>
  </si>
  <si>
    <t>US State List (Verification)</t>
  </si>
  <si>
    <t>State of incorporation (US only)</t>
  </si>
  <si>
    <t>Principal place of business - Country</t>
  </si>
  <si>
    <t>Principal place of business - State (US only)</t>
  </si>
  <si>
    <t>CompanyStateOfInc</t>
  </si>
  <si>
    <t>CompanyPrincPlaceState</t>
  </si>
  <si>
    <t>State of Residence 
(US only)</t>
  </si>
  <si>
    <t>BankAccountsAccType</t>
  </si>
  <si>
    <t>BankAccountsBankOrServiceName</t>
  </si>
  <si>
    <t>BankAccountsAccNumber</t>
  </si>
  <si>
    <t>BankAccountsAccLocation</t>
  </si>
  <si>
    <t>BankAccountsSWIFTBICRouting</t>
  </si>
  <si>
    <t>BankAccountsTableFields</t>
  </si>
  <si>
    <t>Has the company or have its representatives ever been investigated, indicted, convicted or was in a civil enforcement action related to money laundering/terrorist financing or any other regulatory matter?</t>
  </si>
  <si>
    <t>Personal Investment Vehicle</t>
  </si>
  <si>
    <t>Proprietary Trading Firm</t>
  </si>
  <si>
    <t>Government Entity</t>
  </si>
  <si>
    <t>401(K) or Profit-Sharing Plan (including, solo 401(K) and retirement trusts)</t>
  </si>
  <si>
    <t>Pooled Investment Fund (Hedge Fund, Private Equity Fund, Venture Capital Fund)</t>
  </si>
  <si>
    <t>Money Services Business (“MSBs”) or Money Transmitters (“MSTs”</t>
  </si>
  <si>
    <t>Definition</t>
  </si>
  <si>
    <t>Required Documentation</t>
  </si>
  <si>
    <t>A professional service provider acts as an intermediary between its client and a financial institution. Professional service providers include lawyers, accountants, investment brokers, and other third parties that act as financial liaisons for their clients. These providers may conduct financial dealings for their clients. For example, an attorney may perform services for a client, or arrange for services to be performed on the client’s behalf, such as settlement of real estate transactions, asset transfers, management of client monies, investment services, and trust arrangements.</t>
  </si>
  <si>
    <t>An operating company is defined as accompany that makes a good or provides a service that it then sells to customers or clients. An operating company contrasts with a holding company, whose main function is to own other companies.</t>
  </si>
  <si>
    <t xml:space="preserve">A personal investment vehicle is defined as a company whose sole purpose is to invest on behalf of the beneficial owner. A personal investment vehicle does not provide goods or services to customers or clients. In addition, a personal investment vehicle does not allow outside investors. </t>
  </si>
  <si>
    <t xml:space="preserve">A proprietary trading firm trades stocks, bonds, currencies, commodities, their derivatives, or other financial instruments with the firm’s own money. Proprietary traders use a variety of strategies such as arbitrage, fundamental analysis, and global macro trading. </t>
  </si>
  <si>
    <t xml:space="preserve">Any state or political subdivision of a state, including: any agency, authority, or instrumentality of the state or political subdivision; a plan or pool of assets controlled by the state or political subdivision or any agency, authority, or instrumentality thereof, acting in their official capacity, </t>
  </si>
  <si>
    <t xml:space="preserve">A trust is a fiduciary relationship in which one party, known as a settlor, gives another party, the trustee, the right to hold title to property or assets for the benefit of a third party, the beneficiary. </t>
  </si>
  <si>
    <t xml:space="preserve">A 401(K) plan is a qualified employer-established plan to which eligible employees may make salary deferral (salary reduction) contributions on a post-tax basis. Employers offering a 401(K) plan may make matching or non-elective contributions to the plan on behalf of eligible employees and may also add a profit-sharing feature to the plan. Earning in a 401(K) plan accrue on a tax deferred basis. 
A Profit-Sharing Plan, also known as a deferred profit-sharing plan or DSPS, is a plan that gives employees a share in the profits of a company. Under this type of plan, an employee receives a percentage of a company’s profits based on its quarterly or annual earnings. </t>
  </si>
  <si>
    <t>CompanyServiceDescription</t>
  </si>
  <si>
    <t>CompanyServiceAddInfo</t>
  </si>
  <si>
    <t>CompanyRegulatoryAddInfo</t>
  </si>
  <si>
    <t>INDIVIDUALS</t>
  </si>
  <si>
    <t>Representatives and Acc. Users TITLE</t>
  </si>
  <si>
    <t>Representatives and Acc Users</t>
  </si>
  <si>
    <t>Owners or Trustees</t>
  </si>
  <si>
    <t>Owners or Trustees TITLE</t>
  </si>
  <si>
    <t>Ownership Information</t>
  </si>
  <si>
    <t xml:space="preserve">Information on Settlor(s) Trustee(s) </t>
  </si>
  <si>
    <t>Information on Plan Sponsor, Plan Administrator, Trustee</t>
  </si>
  <si>
    <t>Stake</t>
  </si>
  <si>
    <t>A publicly traded company is a company whose ownership is dispersed among the general public in many shares of stock which are freely traded on a stock exchange or in over the counter (“OTC”) markets.
Because these companies are strictly regulated and have to comply with a number of stringent requirements prior to (and after) going public, this allows Bitstamp to take comfort in their risk status.</t>
  </si>
  <si>
    <t>Fill in if applicable. If not, enter N/A.</t>
  </si>
  <si>
    <t>This worksheet is not applicable for the selected entity type.</t>
  </si>
  <si>
    <t>CompanySourceOfFunds</t>
  </si>
  <si>
    <t>Representatives and Acc. Users</t>
  </si>
  <si>
    <t>Sanctions and AML Information</t>
  </si>
  <si>
    <t>Background infromation on ownership or trustee(s) and settler(s).</t>
  </si>
  <si>
    <t>Information on individuals that are authorized to act on the account (control persons and/or account users).</t>
  </si>
  <si>
    <t>Information on sanctioned industries, countries and historical AML information.</t>
  </si>
  <si>
    <t>Doing business as (other business names used if any, otherwise enter N/A)</t>
  </si>
  <si>
    <t>Full company legal name (along with original legal type denomination)</t>
  </si>
  <si>
    <t>Internal Guidance</t>
  </si>
  <si>
    <t>Regulated entities are entities that are regulated by internationally-recognized regulatory authorizes and have undergone AML checks, which in turn allows Bitstamp to take comfort in their risk status. Regulated entities can be any one of the following entities types: registered broker-dealers, registered investment advisors, insurance firms, etc. 
Broker-dealers: With few exceptions, broker dealers must register with the Securities and Exchange Commission and be members of FINRA. Section 3(a)(4)(A) of the Securities Exchange Act of 1934 generally defines a “broker” broadly as any person engaged in the business of effecting transactions in securities for the account of others. Unlike a broker, who acts as agent, a “dealer acts as principal. Section 3(a)(5)(A) of the Act generally defines a “dealer” as any person engaged in the business of buying and selling securities for his own account through a broker or otherwise. 
Registered Investment Advisor: An investment advisor is defined by the Investment Advisors Act of 1940, as any person or group that makes investment recommendations or conducts securities analysis in return for a fee, whether through direct management of client assets or via written publications. Also referred toa as a financial advisor, an investment advisor who has sufficient assets to be registered with the Securities and Exchange Commission (SEC) is knowns as a Registered Investment Advisor, or RIA.
Other regulators that may govern Bitstamp customers: CFTC, NFA, FINRA
If the prospective customer has lost its regulated status or is regulated by a non-recognized regulator, the Customer must be treated as an Operating Company.</t>
  </si>
  <si>
    <t>Proof of registration is required and this will eliminate the need to drill down to 25% beneficial ownership for the entity. 
AML Policy review is not required. 
If the prospective customer has lost its regulated status or is regulated by a non-recognized regulator, the Customer must be treated as an Operating Company.</t>
  </si>
  <si>
    <t>The prospective customer must be listed on a major stock exchange (i.e., NYSE, NASDAQ, Euronext, London Stock Exchange Group) and not have significant private ownership greater than 25%:
a.	Current screenshot from major exchange listing the company’s ticker symbol and performance (i.e., demonstrating active status)
b.	Screenshot from Financial Times (ft.com) evidencing the free float for the entity (thereby demonstrating that there is no significant ownership interest greater than 25%).
i.	Note: If there is significant private ownership greater than 25% the Analyst must treat the Company as an Operating Company.</t>
  </si>
  <si>
    <t>Actively Involved in the Company (Y/N)</t>
  </si>
  <si>
    <t>less than 10%</t>
  </si>
  <si>
    <t>10% to 24,99%</t>
  </si>
  <si>
    <t>25% or more</t>
  </si>
  <si>
    <t>OwnershipSOF</t>
  </si>
  <si>
    <t>BitstampAccountUserType</t>
  </si>
  <si>
    <t>No access to Bitstamp platform</t>
  </si>
  <si>
    <t>The following website may be helpful: https://www.bizfilings.com/state-guide</t>
  </si>
  <si>
    <t>1. Private Placement Memorandum/Offering Memorandum/Offering Literature can be referenced a number of different ways. Explain to the client that you are looking for the legal document that states the objectives, risk, and terms of an investment involved with a private placement. This document includes items such as a company’s financial statements, management biographies, a detailed description of the business operations and more.
2. There will not always be a Fund Administrator. For example, Private Equity funds will not necessarily have a Fund Administrator, and often times will have the law firm they have hired conduct AML/KYC screening for potential investors as opposed to relying on an outside Fund Administrator to perform these services. Note: Beneficial ownership for a fund can change daily, rather than identify 25% level ownership, we will identify and vet the control persons and entities as described below.</t>
  </si>
  <si>
    <t>Individuals with Significant Control are determined from a review of the Form 990 and factors to consider include title (officers or directors), salary, and hours worked per week.</t>
  </si>
  <si>
    <t>LLC</t>
  </si>
  <si>
    <t>Limited Partnership</t>
  </si>
  <si>
    <t>S Corporation</t>
  </si>
  <si>
    <t>Publicly Traded Companies</t>
  </si>
  <si>
    <t>Regulated Entities</t>
  </si>
  <si>
    <t>Tax Exempt Organizations Non-Profit (NPOs) and Non-Governmental Organizations (NGOs)</t>
  </si>
  <si>
    <t>Mining Companies/Node Operators/ Mining Hardware Companies</t>
  </si>
  <si>
    <t>Relevant selection based Industry and Fin.Serv.Type and corrected for Publicly Traded or Regulated</t>
  </si>
  <si>
    <t>Business Logic to Select Relevant Documentation Type</t>
  </si>
  <si>
    <t>Required Documents Guidance Class</t>
  </si>
  <si>
    <t>Legal Form</t>
  </si>
  <si>
    <t>Required Documents Guidance Legal Entity</t>
  </si>
  <si>
    <t>CompanyAccountType</t>
  </si>
  <si>
    <t xml:space="preserve">Account Type and Business Model Information
</t>
  </si>
  <si>
    <t>CompanyBusinessModel</t>
  </si>
  <si>
    <t>Regulated Entity</t>
  </si>
  <si>
    <t>Publicly Traded Company</t>
  </si>
  <si>
    <t>Hierarchy</t>
  </si>
  <si>
    <t>Legal and accounting services</t>
  </si>
  <si>
    <t>Real estate</t>
  </si>
  <si>
    <t>Investment Brokerage</t>
  </si>
  <si>
    <t>Asset management</t>
  </si>
  <si>
    <t>Advertising &amp; Market Research</t>
  </si>
  <si>
    <t>Agriculture, Fishing, Hunting, Forestry and Related Activities</t>
  </si>
  <si>
    <t>Computer Programming &amp; Related Services</t>
  </si>
  <si>
    <t>Construction</t>
  </si>
  <si>
    <t>Education</t>
  </si>
  <si>
    <t>Electricity, Gas &amp; Water Supply</t>
  </si>
  <si>
    <t>Equipment Rental</t>
  </si>
  <si>
    <t>Food and beverage service activities</t>
  </si>
  <si>
    <t>Health &amp; Social Work</t>
  </si>
  <si>
    <t>Hotels &amp; Restaurants</t>
  </si>
  <si>
    <t>Leisure &amp; Cultural Services</t>
  </si>
  <si>
    <t>Manufacturing of products</t>
  </si>
  <si>
    <t>Printing &amp; Publishing</t>
  </si>
  <si>
    <t>Research &amp; Development</t>
  </si>
  <si>
    <t>Retail trade</t>
  </si>
  <si>
    <t>Retail services (other)</t>
  </si>
  <si>
    <t>Security and investigation activities</t>
  </si>
  <si>
    <t>Transport, Storage &amp; Transportation</t>
  </si>
  <si>
    <t>Wholesale</t>
  </si>
  <si>
    <t>Hedge Fund</t>
  </si>
  <si>
    <t>Venture Capital Fund</t>
  </si>
  <si>
    <t>Private Equity Fund</t>
  </si>
  <si>
    <t>Investment fund (public)</t>
  </si>
  <si>
    <t>Broker-dealer</t>
  </si>
  <si>
    <t>Registered Investment Advisor</t>
  </si>
  <si>
    <t>Insurance</t>
  </si>
  <si>
    <t>Custody services</t>
  </si>
  <si>
    <t>Investment bank</t>
  </si>
  <si>
    <t>Investment Advisory</t>
  </si>
  <si>
    <t>Private bank</t>
  </si>
  <si>
    <t>Remittance</t>
  </si>
  <si>
    <t>Payment services provider (online, credit cards…)</t>
  </si>
  <si>
    <t>Fintech – online/mobile banking</t>
  </si>
  <si>
    <t>Online trading platform</t>
  </si>
  <si>
    <t>Crypto reseller (online, using P2P…)</t>
  </si>
  <si>
    <t>Crypto ATM</t>
  </si>
  <si>
    <t>OTC exchange</t>
  </si>
  <si>
    <t>PSP</t>
  </si>
  <si>
    <t>OC</t>
  </si>
  <si>
    <t>PIV</t>
  </si>
  <si>
    <t>PTF</t>
  </si>
  <si>
    <t>PIF</t>
  </si>
  <si>
    <t>PTC</t>
  </si>
  <si>
    <t>TEONP</t>
  </si>
  <si>
    <t>MSBMST</t>
  </si>
  <si>
    <t>MCNO</t>
  </si>
  <si>
    <t>ICO</t>
  </si>
  <si>
    <t>Money Services Business (“MSBs”) or Money Transmitters (“MSTs”)</t>
  </si>
  <si>
    <t>Value Code</t>
  </si>
  <si>
    <t>KPS</t>
  </si>
  <si>
    <t>Relevant Document Guidance Class</t>
  </si>
  <si>
    <t>Regulatory approvals and licenses</t>
  </si>
  <si>
    <t>A limited liability company (LLC) is a business structure in the US whereby the owners are not personally liable for the company's debts or liabilities. While the limited liability feature is similar to that of a corporation, the availability of flow-through taxation to the members of an LLC is a feature of partnerships (and not an LLC).</t>
  </si>
  <si>
    <t>An S corporation, also known as an S subchapter, refers to a type of corporation. Requirements give a corporation with 100 shareholders or less the benefit of incorporation while being taxed as a partnership. Corporate taxes filed under Subchapter S may pass business income, losses, deductions, and credits to shareholders. Shareholders report income and losses on individual tax returns, and pay taxes at ordinary tax rates. S corporation shareholders must be individuals, specific trusts and estates, or certain tax-exempt organizations.</t>
  </si>
  <si>
    <t xml:space="preserve">A limited partnership exists when two or more partners go into business together, but one or more of the partners are only liable up to the amount of their investment. The general partner of the LP has unlimited liability. There are three types of partnerships: limited partnership, general partnership, and joint venture. Most U.S. states govern the formation of limited partnerships, requiring registration with the Secretary of State. </t>
  </si>
  <si>
    <t>A trust is a fiduciary relationship in which one party, known as a trustor/settlor, gives another party, the trustee, the right to hold title to property or assets for the benefit of a third party, the beneficiary. Trusts are established to provide legal protection for the trustor’s assets, to make sure those assets are distributed according to the wishes of the trustor, and to save time, reduce paperwork and, in some cases, avoid or reduce inheritance or estate taxes. In finance, a trust can also be a type of closed-end fund built as a public limited company.</t>
  </si>
  <si>
    <t>Other entity types such as sole proprietorship, C-Corporation, LLP, LLLP, PLLC, PC and others.</t>
  </si>
  <si>
    <t>PIF-venture</t>
  </si>
  <si>
    <t>RE-broker</t>
  </si>
  <si>
    <t>RE-advisor</t>
  </si>
  <si>
    <t>RE-insurance</t>
  </si>
  <si>
    <t>MSBMST-ATM</t>
  </si>
  <si>
    <t>MSBMST-bank</t>
  </si>
  <si>
    <t>- High quality scans of their proof of residency documents (e.g. bank account statements, utility bills).</t>
  </si>
  <si>
    <t xml:space="preserve">
</t>
  </si>
  <si>
    <t xml:space="preserve">- Proof of registration as broker-dealer with FINRA.
- AML Policy.
</t>
  </si>
  <si>
    <t xml:space="preserve">- Confirmation on Registration as an Investment Advisor.
- AML Policy.
</t>
  </si>
  <si>
    <t>- IRA/401k Statement.</t>
  </si>
  <si>
    <t>Government Entity, Tax Exempt, Non-Profit and Non-Governmental Organizations</t>
  </si>
  <si>
    <t>Representatives and Account Users</t>
  </si>
  <si>
    <t>- Commission from the Government stating they are the elected official and the term they are elected for (if applicable).
- Self-Attestation from the Authorized Signer stating they are authorized to act on behalf of the government entity they represent.</t>
  </si>
  <si>
    <t>Business model linked to</t>
  </si>
  <si>
    <t>Linked To Account Type</t>
  </si>
  <si>
    <t>Account Type and Business Model selection guidelines:</t>
  </si>
  <si>
    <t>- High resolution image of international passport or other government issued ID document of all individual owners with a company share of 25 % or higher.</t>
  </si>
  <si>
    <t>Ownership, Source of Funds</t>
  </si>
  <si>
    <t>Sheet 6</t>
  </si>
  <si>
    <t>Ownership, SOF</t>
  </si>
  <si>
    <t>Ownership, SOF, Individuals</t>
  </si>
  <si>
    <t>Ownership, SOF, Legal Entities</t>
  </si>
  <si>
    <t>Corporate Account Opening Questionnaire 
Company Bank Accounts Intended to Deposit and Withdraw Fiat Funds</t>
  </si>
  <si>
    <t>TRUST</t>
  </si>
  <si>
    <t>LEGGE</t>
  </si>
  <si>
    <t>LEGALL</t>
  </si>
  <si>
    <t>LEGTRUST</t>
  </si>
  <si>
    <t xml:space="preserve">- Internal Revenue Service Form 990.
- List of significant donors (contributed more than 25% of the total donated funds).
</t>
  </si>
  <si>
    <t>Corporate Account Opening Questionnaire - Company Information and Intended Activity
Required documents guidance based on selected Legal Entity Type, Account Type and Business Model - see below</t>
  </si>
  <si>
    <t>Crimea region</t>
  </si>
  <si>
    <t>Do you offer services to residents of any of the following countries or regions?</t>
  </si>
  <si>
    <t>INC00005</t>
  </si>
  <si>
    <t>ServResCrimea</t>
  </si>
  <si>
    <t xml:space="preserve">Entities that issue tokens or coins via an Initial Coin Offering (“ICO”) or Simple Agreement for Future Tokens (“SAFT”)
ICO: an initial coin offering, or ICO, is a means that start-up companies generally utilize to raise capital for a new cryptocurrency venture. A percentage of the cryptocurrency venture. A percentage of the cryptocurrency in question is sold to early backers of the project in exchange for legal tender or other cryptocurrencies such as bitcoin or Ethereum. Unlike an initial public offering (“IPO”), ICOs are unregulated and as such are not subject to the rigorous and regulated capital raising process that is required for venture capitalists or banks in IPOs.
SAFT: A Simple Agreement for Future Tokens, or “SAFT”, by contrast is an investment contract offered by cryptocurrency develops to accredited investors.
Blockchain Token: A digital token created on a blockchain as part of a decentralized software protocol. Blockchain tokens vary with respect to the characteristics and functionality. Depending on the substance and usage of the token, it may be subject to U.S. securities laws. Currently, digital tokens are divided in to two categories: 
1. Utility Tokens: digital assets with utility that function solely as a means of exchange in a decentralized network. The utility function may include a pre-order, a discount, a membership, or some other use connected to the company selling the token. These tokens have free floating prices and an indirect correlation to the growth of the company.
2. Security Tokens: digital assets offered as an investment contract, which are directly related to the growth of a company. These tokens are viewed as falling within the purview of the US securities laws.
https://www.sec.gov/ICO
</t>
  </si>
  <si>
    <t xml:space="preserve">The minders being rewarded with new cryptocurrency for verifying the data.
Proof-of-work (“PoW”) – A self-regulating mechanism in which miners are required to submit the results of algorithmic calculations to all other participants of the network Mining Companies are entities that mine and earn cryptocurrency by verifying previous blockchain transactions through proof of work (“PoW”) and/or proof of stake (“PoS”).
Mining – Process by which new blocks are added to the blockchain public ledger and new cryptocurrency is created through the verification of previous transaction data. Transaction data is verified through an intricate algorithmic process in which miners compete to perform the necessary computations required to verify transaction data, resulting in an effort to verify transactions, resulting in the creation of new coins via earned transaction fees. 
Proof-of-stake (“PoS”) – A self-regulating mechanism in which individuals endorse transactions on the blockchain in a deterministic manner depending on the stake involved. In the PoS world, new coins are not created; all coins simply exist from the very beginning, and transactions are validated. 
Node Operating Companies are entities that earn cryptocurrency by verifying previous blockchain transactions in tandem with miners, utilizing a mechanism similar to proof-of-stake. 
Node – any computer device that is maintain a network can receive, transmit, and/or contribute to the blockchain.
Masternode – is a node that operates as a manager for a cryptocurrency system and earns coins as a reward for the work. The managing toles include voting on proposals to improve the cryptocurrency system, creating instant transactions, known as “InstantSend”, and private transactions “PrivateSend”.
Mining Hardware Companies are entities that are engaged in the sale of the hardware (i.e., mining rigs) necessary to engage in the mining of cryptocurrency.
Mining Risk – hardware systems that perform the necessary computation functions required in order to verify transaction data on the blockchain. The systems are usually comprised of, but are not limited to, the following: GPU (Graphic Processing Units), CPUs (Computer Processing Units), a motherboard, fans/heatsinks, and power adaptors.
</t>
  </si>
  <si>
    <t>Money Services Businesses are non-bank financial institutions that provide certain financial services to their customers. They range in size and complexity, from small, one-shop businesses to multi-state sophisticated providers. As defined by FinCEN, MSBs include five distinct types of financial services providers (and the U.S. Postal Service):
1.	Currency dealer or exchanger,
2.	Check casher,
3.	Issuer of traveller’s check,
4.	Seller or redeemer of traveller’s checks, money orders or stored value, 
5.	Money Transmitter,
6.	US Postal Service 
Note: There is a threshold requirement for businesses in the first four categories – a business that engages in such transactions will not be considered a MSB if it does not engage in such transactions in an amount greater than $1,000 for any person on any day in one or more transactions. The threshold applies separately to each activity, so if the threshold is not met for the specific activity, the business engaged in that activity is not a MSB on the basis of that activity. 
It should also be noted that MSBs do NOT include the following:
1.	A bank. As that term is defined in 31 CFR 1010.100(d) (formerly 31 CFR 103.11(c)), or
2.	A person registered with, and regulated or examined by, the SEC or the CFTC.
MSBs serve important functions, including facilitating remittances and providing other financial services; however, their very nature makes them more at risk for being used to facilitate money laundering and financing of terrorist activities. As such, MSBs are required to establish and maintain effective written AML programs reasonably designed to prevent the MSB from being used to facilitate money laundering and terrorist financing.</t>
  </si>
  <si>
    <t xml:space="preserve">Tax exempt organization are defined pursuant to Title 26 section 501(a) of the United States Code, typically this is a corporation, trust unincorporated association or other type of organization that is exempt from federal tax. This includes all 501(c) non-profit organization, but most common are 501(c)(3), which range from charitable foundations to universities and churches. However, certain organization to support particular cryptocurrencies may be organized under 501(a) or the IRS code, wherein although similar to 501(c)(3) as charitable organization providing services to the public 501(a) organization are formed exclusively to promote the welfare of a certain group of people such as employees. Membership is limited to the group whom the organization represents.
Primarily there are three fundamental classifications of tax-exempt entities:
1.	A public charity, identified by the Internal Revenue Service as “not a private foundation”, normally receives a substantial part of its income, directly or indirectly, from the general public or from the government. The public support must be fairly broad, not limited to a few individuals or families. Public charities are defined in the Internal Revenue Code under sections 509(a)(1) through 509(a)(4).
2.	A private foundation, sometimes called a non-operating foundation, receives most of its income from investments and endowment. This income is used to make grants to other organization, rather than being disbursed directly for charitable activities. Private foundations are defined in the Internal Revenue Code under section 509(a) as 501(c)(3) organization, which do not qualify as public charities.
3.	Churches and religious organization must meet specific requirement in order to obtain and maintain tax exempt status; these are outlined in IRS Publication 1828: Tax guide for churches and religious organization, which outlines activities allowed and not allowed by churches and religious organization under the 501(c)(3) designation.
 </t>
  </si>
  <si>
    <t xml:space="preserve">1.	Hedge Funds: are alternative investments using pooled funds that employ numerous different strategies to earn active return, or alpha, for their investors. Hedge funds may be aggressively managed or make use of derivatives and leverage in both domestic and international markets with the goal of generating high returns (either in an absolute sense or over a specified market benchmark). It is important to note that hedge funds are generally only accessible to accredited investors as they require less SEC regulations than other funds. One aspect that has set the hedge fund industry apart is the fact that hedge funds face less regulation than mutual funds and other investment vehicles.
2.	A private equity fund typically refers to a general partnership formed by PE firms, which are utilized to invest in private companies. Private equity funds may invest directly in equity securities of the target investment, in the form of mezzanine debt, or in both equity and debt. 
3.	Venture Capital funds are investment funds that manage the money of investors who seek private equity stakes in start-up and small to medium sized enterprises with strong growth potential. These investments are generally characterized as high-risk/high-return opportunities. In the past, venture capital investments were only accessible to professional venture capitalists although now accredited investors have a greater ability to take part in venture capital investments. </t>
  </si>
  <si>
    <t>Regulated entities are entities that are regulated by internationally-recognized regulatory authorizes and have undergone AML checks, which in turn allows Bitstamp to take comfort in their risk status. Regulated entities can be any one of the following entities types: registered broker-dealers, registered investment advisors, insurance firms, etc. 
Broker-dealers: With few exceptions, broker dealers must register with the Securities and Exchange Commission and be members of FINRA. Section 3(a)(4)(A) of the Securities Exchange Act of 1934 generally defines a “broker” broadly as any person engaged in the business of effecting transactions in securities for the account of others. Unlike a broker, who acts as agent, a “dealer acts as principal. Section 3(a)(5)(A) of the Act generally defines a “dealer” as any person engaged in the business of buying and selling securities for his own account through a broker or otherwise. 
Registered Investment Advisor: An investment advisor is defined by the Investment Advisors Act of 1940, as any person or group that makes investment recommendations or conducts securities analysis in return for a fee, whether through direct management of client assets or via written publications. Also referred to as a financial advisor, an investment advisor who has sufficient assets to be registered with the Securities and Exchange Commission (SEC) is knowns as a Registered Investment Advisor, or RIA.
Other regulators that may govern Bitstamp customers: CFTC, NFA, FINRA
If the prospective customer has lost its regulated status or is regulated by a non-recognized regulator, the Customer must be treated as an Operating Company.</t>
  </si>
  <si>
    <t xml:space="preserve">Please make sure that Account Type and Business Model match!
</t>
  </si>
  <si>
    <t xml:space="preserve">Please select Legal Form, Account Type and  Business Model!
</t>
  </si>
  <si>
    <t>Legal Entity Type</t>
  </si>
  <si>
    <t>Entity Type</t>
  </si>
  <si>
    <t>Account Manager</t>
  </si>
  <si>
    <t>Administrator</t>
  </si>
  <si>
    <t>API Administrator</t>
  </si>
  <si>
    <t>Cash Manager</t>
  </si>
  <si>
    <t>Trader</t>
  </si>
  <si>
    <t>Read Only</t>
  </si>
  <si>
    <t>Biststamp Account User Roles Explanation:</t>
  </si>
  <si>
    <t>1.	Account manager: can do everything – has access to all the settings and full access to all account features.
2.	Administrator: has access management of subaccount (create and deactivate), can view account balance(s).
3.	API Administrator: has access for creation and management of API keys, can view account balance(s).
4.	Cash Manager: has access to the transfer of funds between subaccounts, can view account balance(s), can view and export transaction history and open orders, can view order history, can do withdrawals and deposits (FIAT and crypto), can confirm withdrawal requests through the mobile app, can stake (use earn feature).
5.	Trader: has access to transfer of funds between subaccounts, can view account balance(s), can view and export of transaction history and open orders, can see order history, has full trading access (open and cancel orders), can do OTC trades, can stake (use earn feature), CAN'T do withdrawals or deposits.
6.	Read only: can view account balance(s), can view and export transaction history and open orders, can view deposits.</t>
  </si>
  <si>
    <t>- Certificate of Incorporation or Operating Agreement
- W-9 Form.
- Any document disclosing the company's business address (e.g. bank account statement, utility bill or equivalent).</t>
  </si>
  <si>
    <t xml:space="preserve">- Certificate of Incorporation or Memorandum and Articles of Association
- W-9 Form. 
- Any document disclosing the company's business address (e.g. bank account statement, utility bill or eqiuvalent).
</t>
  </si>
  <si>
    <t>- Certificate of Incorporation and Partnership Agreement.
- W-9 Form.
- Any document disclosing the company's business address (e.g. bank account statement, utility bill or equivalent).</t>
  </si>
  <si>
    <t xml:space="preserve">- Trust deed.
- W-9 Form. 
- Any document disclosing the company's business address (e.g. bank account statement, utility bill or equivalent).
</t>
  </si>
  <si>
    <t xml:space="preserve">- Certificate of Incorporation or extract from the business registry. 
- W-9 Form. 
- Any document disclosing the company's business address (e.g. bank account statement, utility bill).
</t>
  </si>
  <si>
    <t>- High quality scans of proof of residency documents (e.g. bank account statements, utility bills) of all account operatives</t>
  </si>
  <si>
    <t>Other non-financial company</t>
  </si>
  <si>
    <t>Professional Services Provider (e.g., Legal services, Accounting, etc…)</t>
  </si>
  <si>
    <t>Crypto currency exchange or NFT marketplace</t>
  </si>
  <si>
    <t>Initial Coin Offerings (“ICO”)</t>
  </si>
  <si>
    <t>IT services or NFT issuers</t>
  </si>
  <si>
    <t xml:space="preserve">- BSA/AML Policy. 
- Please provide a full list of regulatory licenses and/or registrations under which your company currently operates.
- Locations of your ATMs.
- Do you operate 1-way or 2-way ATMs?
- Provide your current operating hot wallet address.
</t>
  </si>
  <si>
    <t xml:space="preserve">- BSA/AML Policy. 
- Please provide a full list of regulatory licenses and/or registrations under which your company currently operates.
- Provide your current operating hot wallet address.
</t>
  </si>
  <si>
    <t xml:space="preserve">- AML/BSA Policy.
</t>
  </si>
  <si>
    <t>-Please provide the primary wallet address(es) associated with mining operations</t>
  </si>
  <si>
    <t xml:space="preserve">- BSA/AML policy of the entity conducting the ICO
- ICO whitepaper
- Rules regarding who can participate in the ICO (if not included in the AML policy)
- Licensing/registration status or exemption
- Hot wallet address(es) collecting contributions
</t>
  </si>
  <si>
    <t>Caymanian</t>
  </si>
  <si>
    <t>British Virgin Islander</t>
  </si>
  <si>
    <t>- AML Policy.
- Do you require any money transmitter licences in the states in which you operate?</t>
  </si>
  <si>
    <t>- Private Placement Memorandum/Offering Memorandum/Offering Literature.
- AML comfort letter from the fund administrator.
- Do you already have any investors? Does any investor hold more than 25% of the total AUM?</t>
  </si>
  <si>
    <t>Bitstamp Account User (if applicable, see above)</t>
  </si>
  <si>
    <t>Role / Title in the Legal Entity</t>
  </si>
  <si>
    <t>BUSINESS MODEL (Drop down depends on the selected Account type)</t>
  </si>
  <si>
    <t>LEGAL ENTITY TYPE  (Please check the row 54 for required documentation based on the selected legal type, entity and account type)</t>
  </si>
  <si>
    <t>ACCOUNT TYPE  (Please check the row 54 for required documentation based on the selected legal type, entity and account type)</t>
  </si>
  <si>
    <t>Based on the selected entity type, the documents below are required to comply with regulatory requirements. Please submit them together with this questionnaire.</t>
  </si>
  <si>
    <t xml:space="preserve">- High resolution image of international passport or other government issued ID document of at least one Trustee or equivalent individual with at least 25 % or more equity interest in the Trust. 
</t>
  </si>
  <si>
    <t xml:space="preserve">Please provide the following information for all individuals who directly or indirectly, through any contract, arrangement, understanding, relationship or otherwise, own 25% or more of the equity interests of the legal entity customer:
</t>
  </si>
  <si>
    <t/>
  </si>
  <si>
    <t>PSP-legal</t>
  </si>
  <si>
    <t>- High resolution image of international passport or other government issued ID document of individual with significant responsibility to control, manage, or direct a legal entity customer (e.g. CEO, COO, CFO, GP, VP, Treasurer...) if not already provided.
- High resolution image of international passport or other government issued ID document of all authorized account operatives.</t>
  </si>
  <si>
    <t>- High resolution image of international passport or other government issued ID document of all authorized account operatives.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</si>
</sst>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x16r2:formatCode16="[$-en-SI,1]dd/mm/yyyy;@"/>
  </numFmts>
  <fonts count="21" x14ac:knownFonts="1">
    <font>
      <sz val="11"/>
      <color theme="1"/>
      <name val="Calibri"/>
      <family val="2"/>
      <scheme val="minor"/>
    </font>
    <font>
      <sz val="11"/>
      <color theme="1"/>
      <name val="Calibri"/>
      <family val="2"/>
      <scheme val="minor"/>
    </font>
    <font>
      <b/>
      <sz val="11"/>
      <color theme="1"/>
      <name val="Calibri"/>
      <family val="2"/>
      <scheme val="minor"/>
    </font>
    <font>
      <b/>
      <sz val="16"/>
      <color theme="1"/>
      <name val="Calibri"/>
      <family val="2"/>
      <scheme val="minor"/>
    </font>
    <font>
      <u/>
      <sz val="11"/>
      <color theme="10"/>
      <name val="Calibri"/>
      <family val="2"/>
      <scheme val="minor"/>
    </font>
    <font>
      <sz val="9"/>
      <color theme="1"/>
      <name val="Calibri"/>
      <family val="2"/>
      <scheme val="minor"/>
    </font>
    <font>
      <i/>
      <sz val="10"/>
      <color theme="1"/>
      <name val="Calibri"/>
      <family val="2"/>
      <scheme val="minor"/>
    </font>
    <font>
      <b/>
      <i/>
      <sz val="10"/>
      <color theme="1"/>
      <name val="Calibri"/>
      <family val="2"/>
      <scheme val="minor"/>
    </font>
    <font>
      <i/>
      <sz val="11"/>
      <color theme="1"/>
      <name val="Calibri"/>
      <family val="2"/>
      <scheme val="minor"/>
    </font>
    <font>
      <b/>
      <i/>
      <sz val="11"/>
      <color theme="1"/>
      <name val="Calibri"/>
      <family val="2"/>
      <scheme val="minor"/>
    </font>
    <font>
      <i/>
      <sz val="12"/>
      <color theme="1"/>
      <name val="Calibri"/>
      <family val="2"/>
      <scheme val="minor"/>
    </font>
    <font>
      <b/>
      <i/>
      <sz val="12"/>
      <color theme="1"/>
      <name val="Calibri"/>
      <family val="2"/>
      <scheme val="minor"/>
    </font>
    <font>
      <b/>
      <i/>
      <sz val="16"/>
      <color theme="1"/>
      <name val="Calibri"/>
      <family val="2"/>
      <scheme val="minor"/>
    </font>
    <font>
      <sz val="11"/>
      <name val="Calibri"/>
      <family val="2"/>
      <scheme val="minor"/>
    </font>
    <font>
      <b/>
      <sz val="22"/>
      <color theme="1"/>
      <name val="Calibri"/>
      <family val="2"/>
      <scheme val="minor"/>
    </font>
    <font>
      <sz val="11"/>
      <color theme="9" tint="0.79998168889431442"/>
      <name val="Calibri"/>
      <family val="2"/>
      <scheme val="minor"/>
    </font>
    <font>
      <sz val="11"/>
      <color theme="1"/>
      <name val="Calibri"/>
      <family val="2"/>
      <charset val="1"/>
      <scheme val="minor"/>
    </font>
    <font>
      <b/>
      <sz val="11"/>
      <color theme="1"/>
      <name val="Calibri"/>
      <family val="2"/>
      <charset val="238"/>
      <scheme val="minor"/>
    </font>
    <font>
      <b/>
      <sz val="9"/>
      <color rgb="FFFF0000"/>
      <name val="Calibri"/>
      <family val="2"/>
      <scheme val="minor"/>
    </font>
    <font>
      <b/>
      <sz val="9"/>
      <color theme="1"/>
      <name val="Calibri"/>
      <family val="2"/>
      <scheme val="minor"/>
    </font>
    <font>
      <b/>
      <sz val="11"/>
      <color rgb="FFFF0000"/>
      <name val="Calibri"/>
      <family val="2"/>
      <scheme val="minor"/>
    </font>
  </fonts>
  <fills count="12">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auto="1"/>
        <bgColor theme="0"/>
      </patternFill>
    </fill>
    <fill>
      <patternFill patternType="solid">
        <fgColor theme="5" tint="0.79998168889431442"/>
        <bgColor indexed="64"/>
      </patternFill>
    </fill>
    <fill>
      <patternFill patternType="mediumGray">
        <fgColor theme="9" tint="0.79998168889431442"/>
        <bgColor theme="0" tint="-4.9989318521683403E-2"/>
      </patternFill>
    </fill>
    <fill>
      <patternFill patternType="lightGray">
        <fgColor rgb="FFFFFF00"/>
        <bgColor theme="0" tint="-4.9989318521683403E-2"/>
      </patternFill>
    </fill>
    <fill>
      <patternFill patternType="solid">
        <fgColor theme="7" tint="0.79998168889431442"/>
        <bgColor indexed="64"/>
      </patternFill>
    </fill>
    <fill>
      <patternFill patternType="solid">
        <fgColor theme="2"/>
        <bgColor indexed="64"/>
      </patternFill>
    </fill>
    <fill>
      <patternFill patternType="solid">
        <fgColor theme="4" tint="0.79998168889431442"/>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diagonal/>
    </border>
  </borders>
  <cellStyleXfs count="3">
    <xf numFmtId="0" fontId="0" fillId="0" borderId="0"/>
    <xf numFmtId="0" fontId="4" fillId="0" borderId="0" applyNumberFormat="0" applyFill="0" applyBorder="0" applyAlignment="0" applyProtection="0"/>
    <xf numFmtId="0" fontId="16" fillId="0" borderId="0"/>
  </cellStyleXfs>
  <cellXfs count="235">
    <xf numFmtId="0" fontId="0" fillId="0" borderId="0" xfId="0"/>
    <xf numFmtId="0" fontId="0" fillId="0" borderId="1" xfId="0" applyBorder="1"/>
    <xf numFmtId="0" fontId="1" fillId="0" borderId="1" xfId="0" applyFont="1" applyBorder="1" applyAlignment="1">
      <alignment vertical="center"/>
    </xf>
    <xf numFmtId="0" fontId="0" fillId="0" borderId="1" xfId="0" applyBorder="1" applyAlignment="1">
      <alignment vertical="center"/>
    </xf>
    <xf numFmtId="0" fontId="0" fillId="2" borderId="0" xfId="0" applyFill="1" applyAlignment="1">
      <alignment vertical="center" wrapText="1"/>
    </xf>
    <xf numFmtId="0" fontId="0" fillId="2" borderId="0" xfId="0" applyFill="1"/>
    <xf numFmtId="0" fontId="2" fillId="2" borderId="0" xfId="0" applyFont="1" applyFill="1"/>
    <xf numFmtId="0" fontId="0" fillId="2" borderId="0" xfId="0" applyFill="1" applyAlignment="1">
      <alignment wrapText="1"/>
    </xf>
    <xf numFmtId="0" fontId="2" fillId="3" borderId="8" xfId="0" applyFont="1" applyFill="1" applyBorder="1"/>
    <xf numFmtId="0" fontId="2" fillId="3" borderId="9" xfId="0" applyFont="1" applyFill="1" applyBorder="1"/>
    <xf numFmtId="0" fontId="0" fillId="4" borderId="0" xfId="0" applyFill="1"/>
    <xf numFmtId="0" fontId="0" fillId="4" borderId="0" xfId="0" applyFill="1" applyAlignment="1">
      <alignment wrapText="1"/>
    </xf>
    <xf numFmtId="0" fontId="2" fillId="4" borderId="0" xfId="0" applyFont="1" applyFill="1"/>
    <xf numFmtId="0" fontId="2" fillId="4" borderId="0" xfId="0" applyFont="1" applyFill="1" applyAlignment="1">
      <alignment wrapText="1"/>
    </xf>
    <xf numFmtId="0" fontId="2" fillId="4" borderId="0" xfId="0" applyFont="1" applyFill="1" applyAlignment="1">
      <alignment horizontal="center"/>
    </xf>
    <xf numFmtId="0" fontId="0" fillId="2" borderId="6" xfId="0" applyFill="1" applyBorder="1" applyAlignment="1" applyProtection="1">
      <alignment horizontal="center"/>
      <protection locked="0"/>
    </xf>
    <xf numFmtId="0" fontId="0" fillId="2" borderId="3" xfId="0" applyFill="1" applyBorder="1" applyAlignment="1" applyProtection="1">
      <alignment horizontal="center"/>
      <protection locked="0"/>
    </xf>
    <xf numFmtId="0" fontId="0" fillId="2" borderId="0" xfId="0" applyFill="1" applyAlignment="1">
      <alignment vertical="top"/>
    </xf>
    <xf numFmtId="0" fontId="2" fillId="3" borderId="9" xfId="0" applyFont="1" applyFill="1" applyBorder="1" applyAlignment="1">
      <alignment wrapText="1"/>
    </xf>
    <xf numFmtId="0" fontId="2" fillId="3" borderId="8" xfId="0" applyFont="1" applyFill="1" applyBorder="1" applyAlignment="1">
      <alignment horizontal="center" vertical="center"/>
    </xf>
    <xf numFmtId="0" fontId="0" fillId="3" borderId="2" xfId="0" applyFill="1" applyBorder="1" applyAlignment="1">
      <alignment horizontal="center" vertical="center"/>
    </xf>
    <xf numFmtId="0" fontId="0" fillId="3" borderId="1" xfId="0" applyFill="1" applyBorder="1" applyAlignment="1">
      <alignment horizontal="center" vertical="center"/>
    </xf>
    <xf numFmtId="0" fontId="3" fillId="4" borderId="0" xfId="0" applyFont="1" applyFill="1"/>
    <xf numFmtId="0" fontId="2" fillId="3" borderId="10" xfId="0" applyFont="1" applyFill="1" applyBorder="1" applyAlignment="1">
      <alignment wrapText="1"/>
    </xf>
    <xf numFmtId="0" fontId="0" fillId="3" borderId="1" xfId="0" applyFill="1" applyBorder="1" applyAlignment="1">
      <alignment horizontal="center"/>
    </xf>
    <xf numFmtId="0" fontId="0" fillId="3" borderId="1" xfId="0" applyFill="1" applyBorder="1" applyAlignment="1">
      <alignment wrapText="1"/>
    </xf>
    <xf numFmtId="0" fontId="8" fillId="3" borderId="1" xfId="0" applyFont="1" applyFill="1" applyBorder="1" applyAlignment="1">
      <alignment horizontal="left"/>
    </xf>
    <xf numFmtId="0" fontId="8" fillId="3" borderId="1" xfId="0" applyFont="1" applyFill="1" applyBorder="1" applyAlignment="1">
      <alignment horizontal="center"/>
    </xf>
    <xf numFmtId="0" fontId="8" fillId="3" borderId="1" xfId="0" applyFont="1" applyFill="1" applyBorder="1" applyAlignment="1">
      <alignment horizontal="center" wrapText="1"/>
    </xf>
    <xf numFmtId="0" fontId="5" fillId="3" borderId="1" xfId="0" applyFont="1" applyFill="1" applyBorder="1" applyAlignment="1">
      <alignment vertical="center"/>
    </xf>
    <xf numFmtId="0" fontId="5" fillId="3" borderId="1" xfId="0" applyFont="1" applyFill="1" applyBorder="1" applyAlignment="1">
      <alignment vertical="center" wrapText="1"/>
    </xf>
    <xf numFmtId="0" fontId="0" fillId="4" borderId="0" xfId="0" applyFill="1" applyAlignment="1">
      <alignment horizontal="center"/>
    </xf>
    <xf numFmtId="0" fontId="0" fillId="4" borderId="0" xfId="0" applyFill="1" applyAlignment="1">
      <alignment horizontal="left"/>
    </xf>
    <xf numFmtId="0" fontId="4" fillId="3" borderId="28" xfId="1" applyFill="1" applyBorder="1" applyAlignment="1">
      <alignment vertical="center"/>
    </xf>
    <xf numFmtId="0" fontId="8" fillId="3" borderId="26" xfId="0" applyFont="1" applyFill="1" applyBorder="1" applyAlignment="1">
      <alignment vertical="center" wrapText="1"/>
    </xf>
    <xf numFmtId="0" fontId="8" fillId="3" borderId="6" xfId="0" applyFont="1" applyFill="1" applyBorder="1" applyAlignment="1">
      <alignment vertical="center" wrapText="1"/>
    </xf>
    <xf numFmtId="0" fontId="8" fillId="3" borderId="5" xfId="0" applyFont="1" applyFill="1" applyBorder="1" applyAlignment="1">
      <alignment vertical="center"/>
    </xf>
    <xf numFmtId="0" fontId="8" fillId="3" borderId="7" xfId="0" applyFont="1" applyFill="1" applyBorder="1" applyAlignment="1">
      <alignment vertical="center"/>
    </xf>
    <xf numFmtId="0" fontId="2" fillId="4" borderId="0" xfId="0" applyFont="1" applyFill="1" applyAlignment="1">
      <alignment horizontal="center" wrapText="1"/>
    </xf>
    <xf numFmtId="0" fontId="3" fillId="4" borderId="23" xfId="0" applyFont="1" applyFill="1" applyBorder="1" applyAlignment="1">
      <alignment horizontal="center" wrapText="1"/>
    </xf>
    <xf numFmtId="0" fontId="3" fillId="4" borderId="24" xfId="0" applyFont="1" applyFill="1" applyBorder="1" applyAlignment="1">
      <alignment horizontal="center" wrapText="1"/>
    </xf>
    <xf numFmtId="0" fontId="3" fillId="4" borderId="25" xfId="0" applyFont="1" applyFill="1" applyBorder="1" applyAlignment="1">
      <alignment horizontal="center" wrapText="1"/>
    </xf>
    <xf numFmtId="0" fontId="0" fillId="2" borderId="0" xfId="0" applyFill="1" applyAlignment="1">
      <alignment vertical="center"/>
    </xf>
    <xf numFmtId="0" fontId="0" fillId="2" borderId="0" xfId="0" applyFill="1" applyAlignment="1">
      <alignment horizontal="left" vertical="center"/>
    </xf>
    <xf numFmtId="0" fontId="3" fillId="4" borderId="0" xfId="0" applyFont="1" applyFill="1" applyAlignment="1">
      <alignment horizontal="center" wrapText="1"/>
    </xf>
    <xf numFmtId="0" fontId="0" fillId="4" borderId="0" xfId="0" applyFill="1" applyAlignment="1">
      <alignment vertical="top" wrapText="1"/>
    </xf>
    <xf numFmtId="0" fontId="5" fillId="3" borderId="11" xfId="0" applyFont="1" applyFill="1" applyBorder="1" applyAlignment="1">
      <alignment vertical="top" wrapText="1"/>
    </xf>
    <xf numFmtId="0" fontId="5" fillId="3" borderId="12" xfId="0" applyFont="1" applyFill="1" applyBorder="1" applyAlignment="1">
      <alignment vertical="top" wrapText="1"/>
    </xf>
    <xf numFmtId="0" fontId="5" fillId="3" borderId="13" xfId="0" applyFont="1" applyFill="1" applyBorder="1" applyAlignment="1">
      <alignment vertical="top" wrapText="1"/>
    </xf>
    <xf numFmtId="0" fontId="0" fillId="4" borderId="0" xfId="0" applyFill="1" applyAlignment="1">
      <alignment vertical="top"/>
    </xf>
    <xf numFmtId="0" fontId="9" fillId="3" borderId="27" xfId="0" applyFont="1" applyFill="1" applyBorder="1" applyAlignment="1">
      <alignment vertical="center"/>
    </xf>
    <xf numFmtId="0" fontId="9" fillId="3" borderId="20" xfId="0" applyFont="1" applyFill="1" applyBorder="1" applyAlignment="1">
      <alignment vertical="center"/>
    </xf>
    <xf numFmtId="0" fontId="8" fillId="3" borderId="7" xfId="0" applyFont="1" applyFill="1" applyBorder="1" applyAlignment="1">
      <alignment horizontal="left" indent="3"/>
    </xf>
    <xf numFmtId="0" fontId="8" fillId="3" borderId="4" xfId="0" applyFont="1" applyFill="1" applyBorder="1" applyAlignment="1">
      <alignment horizontal="left" indent="3"/>
    </xf>
    <xf numFmtId="0" fontId="8" fillId="3" borderId="7" xfId="0" applyFont="1" applyFill="1" applyBorder="1" applyAlignment="1">
      <alignment horizontal="left" vertical="center" indent="3"/>
    </xf>
    <xf numFmtId="0" fontId="8" fillId="3" borderId="7" xfId="0" applyFont="1" applyFill="1" applyBorder="1" applyAlignment="1">
      <alignment horizontal="left" vertical="center" wrapText="1" indent="3"/>
    </xf>
    <xf numFmtId="0" fontId="8" fillId="3" borderId="5" xfId="0" applyFont="1" applyFill="1" applyBorder="1" applyAlignment="1">
      <alignment vertical="center" wrapText="1"/>
    </xf>
    <xf numFmtId="0" fontId="8" fillId="3" borderId="7" xfId="0" applyFont="1" applyFill="1" applyBorder="1" applyAlignment="1">
      <alignment vertical="center" wrapText="1"/>
    </xf>
    <xf numFmtId="0" fontId="0" fillId="3" borderId="6" xfId="0" applyFill="1" applyBorder="1" applyAlignment="1">
      <alignment horizontal="center"/>
    </xf>
    <xf numFmtId="0" fontId="0" fillId="3" borderId="3" xfId="0" applyFill="1" applyBorder="1" applyAlignment="1">
      <alignment horizontal="center"/>
    </xf>
    <xf numFmtId="0" fontId="0" fillId="0" borderId="2" xfId="0" applyBorder="1" applyAlignment="1" applyProtection="1">
      <alignment vertical="center" wrapText="1"/>
      <protection locked="0"/>
    </xf>
    <xf numFmtId="49" fontId="0" fillId="0" borderId="2" xfId="0" applyNumberFormat="1" applyBorder="1" applyAlignment="1" applyProtection="1">
      <alignment vertical="center" wrapText="1"/>
      <protection locked="0"/>
    </xf>
    <xf numFmtId="0" fontId="0" fillId="0" borderId="1" xfId="0" applyBorder="1" applyAlignment="1" applyProtection="1">
      <alignment horizontal="center"/>
      <protection locked="0"/>
    </xf>
    <xf numFmtId="0" fontId="0" fillId="0" borderId="1" xfId="0" applyBorder="1" applyAlignment="1" applyProtection="1">
      <alignment horizontal="left" vertical="top" wrapText="1"/>
      <protection locked="0"/>
    </xf>
    <xf numFmtId="0" fontId="2" fillId="4" borderId="0" xfId="0" applyFont="1" applyFill="1" applyAlignment="1">
      <alignment horizontal="right" wrapText="1"/>
    </xf>
    <xf numFmtId="49" fontId="0" fillId="0" borderId="1" xfId="0" applyNumberFormat="1" applyBorder="1" applyAlignment="1">
      <alignment horizontal="center"/>
    </xf>
    <xf numFmtId="0" fontId="13" fillId="0" borderId="1" xfId="0" applyFont="1" applyBorder="1"/>
    <xf numFmtId="0" fontId="13" fillId="0" borderId="1" xfId="0" applyFont="1" applyBorder="1" applyAlignment="1">
      <alignment vertical="center"/>
    </xf>
    <xf numFmtId="49" fontId="13" fillId="0" borderId="1" xfId="0" applyNumberFormat="1" applyFont="1" applyBorder="1"/>
    <xf numFmtId="0" fontId="13" fillId="0" borderId="1" xfId="0" applyFont="1" applyBorder="1" applyAlignment="1">
      <alignment horizontal="left" vertical="center"/>
    </xf>
    <xf numFmtId="0" fontId="0" fillId="3" borderId="1" xfId="0" applyFill="1" applyBorder="1"/>
    <xf numFmtId="0" fontId="2" fillId="3" borderId="1" xfId="0" applyFont="1" applyFill="1" applyBorder="1"/>
    <xf numFmtId="0" fontId="2" fillId="3" borderId="0" xfId="0" applyFont="1" applyFill="1" applyAlignment="1">
      <alignment horizontal="center"/>
    </xf>
    <xf numFmtId="0" fontId="0" fillId="2" borderId="4" xfId="0" applyFill="1" applyBorder="1" applyAlignment="1" applyProtection="1">
      <alignment horizontal="left" vertical="top"/>
      <protection locked="0"/>
    </xf>
    <xf numFmtId="0" fontId="2" fillId="2" borderId="0" xfId="0" quotePrefix="1" applyFont="1" applyFill="1" applyAlignment="1">
      <alignment horizontal="right"/>
    </xf>
    <xf numFmtId="0" fontId="10" fillId="4" borderId="0" xfId="0" applyFont="1" applyFill="1" applyAlignment="1">
      <alignment horizontal="left" wrapText="1"/>
    </xf>
    <xf numFmtId="0" fontId="15" fillId="3" borderId="17" xfId="0" applyFont="1" applyFill="1" applyBorder="1" applyProtection="1">
      <protection hidden="1"/>
    </xf>
    <xf numFmtId="0" fontId="14" fillId="3" borderId="29" xfId="0" applyFont="1" applyFill="1" applyBorder="1" applyProtection="1">
      <protection hidden="1"/>
    </xf>
    <xf numFmtId="0" fontId="0" fillId="3" borderId="29" xfId="0" applyFill="1" applyBorder="1" applyProtection="1">
      <protection hidden="1"/>
    </xf>
    <xf numFmtId="0" fontId="0" fillId="3" borderId="31" xfId="0" applyFill="1" applyBorder="1" applyProtection="1">
      <protection hidden="1"/>
    </xf>
    <xf numFmtId="0" fontId="0" fillId="0" borderId="0" xfId="0" applyProtection="1">
      <protection hidden="1"/>
    </xf>
    <xf numFmtId="0" fontId="15" fillId="3" borderId="18" xfId="0" applyFont="1" applyFill="1" applyBorder="1" applyProtection="1">
      <protection hidden="1"/>
    </xf>
    <xf numFmtId="0" fontId="0" fillId="3" borderId="0" xfId="0" applyFill="1" applyProtection="1">
      <protection hidden="1"/>
    </xf>
    <xf numFmtId="0" fontId="0" fillId="3" borderId="32" xfId="0" applyFill="1" applyBorder="1" applyProtection="1">
      <protection hidden="1"/>
    </xf>
    <xf numFmtId="0" fontId="2" fillId="3" borderId="0" xfId="0" quotePrefix="1" applyFont="1" applyFill="1" applyProtection="1">
      <protection hidden="1"/>
    </xf>
    <xf numFmtId="0" fontId="15" fillId="3" borderId="19" xfId="0" applyFont="1" applyFill="1" applyBorder="1" applyProtection="1">
      <protection hidden="1"/>
    </xf>
    <xf numFmtId="0" fontId="2" fillId="3" borderId="30" xfId="0" applyFont="1" applyFill="1" applyBorder="1" applyProtection="1">
      <protection hidden="1"/>
    </xf>
    <xf numFmtId="0" fontId="0" fillId="3" borderId="30" xfId="0" applyFill="1" applyBorder="1" applyProtection="1">
      <protection hidden="1"/>
    </xf>
    <xf numFmtId="0" fontId="0" fillId="3" borderId="33" xfId="0" applyFill="1" applyBorder="1" applyProtection="1">
      <protection hidden="1"/>
    </xf>
    <xf numFmtId="0" fontId="2" fillId="3" borderId="23" xfId="0" applyFont="1" applyFill="1" applyBorder="1" applyProtection="1">
      <protection hidden="1"/>
    </xf>
    <xf numFmtId="0" fontId="2" fillId="3" borderId="24" xfId="0" applyFont="1" applyFill="1" applyBorder="1" applyProtection="1">
      <protection hidden="1"/>
    </xf>
    <xf numFmtId="0" fontId="0" fillId="3" borderId="24" xfId="0" applyFill="1" applyBorder="1" applyProtection="1">
      <protection hidden="1"/>
    </xf>
    <xf numFmtId="0" fontId="0" fillId="3" borderId="25" xfId="0" applyFill="1" applyBorder="1" applyProtection="1">
      <protection hidden="1"/>
    </xf>
    <xf numFmtId="0" fontId="0" fillId="0" borderId="0" xfId="0" applyAlignment="1" applyProtection="1">
      <alignment horizontal="left" vertical="top"/>
      <protection hidden="1"/>
    </xf>
    <xf numFmtId="0" fontId="2" fillId="3" borderId="24" xfId="0" applyFont="1" applyFill="1" applyBorder="1" applyAlignment="1" applyProtection="1">
      <alignment horizontal="left" vertical="top"/>
      <protection hidden="1"/>
    </xf>
    <xf numFmtId="0" fontId="2" fillId="3" borderId="25" xfId="0" applyFont="1" applyFill="1" applyBorder="1" applyProtection="1">
      <protection hidden="1"/>
    </xf>
    <xf numFmtId="49" fontId="0" fillId="0" borderId="0" xfId="0" applyNumberFormat="1" applyProtection="1">
      <protection hidden="1"/>
    </xf>
    <xf numFmtId="49" fontId="0" fillId="2" borderId="20" xfId="0" applyNumberFormat="1" applyFill="1" applyBorder="1" applyAlignment="1" applyProtection="1">
      <alignment vertical="center"/>
      <protection locked="0"/>
    </xf>
    <xf numFmtId="49" fontId="0" fillId="2" borderId="21" xfId="0" applyNumberFormat="1" applyFill="1" applyBorder="1" applyAlignment="1" applyProtection="1">
      <alignment vertical="center"/>
      <protection locked="0"/>
    </xf>
    <xf numFmtId="49" fontId="0" fillId="2" borderId="21" xfId="0" applyNumberFormat="1" applyFill="1" applyBorder="1" applyAlignment="1" applyProtection="1">
      <alignment horizontal="left" vertical="center"/>
      <protection locked="0"/>
    </xf>
    <xf numFmtId="49" fontId="0" fillId="2" borderId="14" xfId="0" applyNumberFormat="1" applyFill="1" applyBorder="1" applyAlignment="1" applyProtection="1">
      <alignment horizontal="left" vertical="center"/>
      <protection locked="0"/>
    </xf>
    <xf numFmtId="49" fontId="0" fillId="2" borderId="15" xfId="0" applyNumberFormat="1" applyFill="1" applyBorder="1" applyAlignment="1" applyProtection="1">
      <alignment horizontal="left" vertical="center"/>
      <protection locked="0"/>
    </xf>
    <xf numFmtId="49" fontId="0" fillId="2" borderId="14" xfId="0" applyNumberFormat="1" applyFill="1" applyBorder="1" applyAlignment="1" applyProtection="1">
      <alignment horizontal="left"/>
      <protection locked="0"/>
    </xf>
    <xf numFmtId="49" fontId="0" fillId="2" borderId="15" xfId="0" applyNumberFormat="1" applyFill="1" applyBorder="1" applyAlignment="1" applyProtection="1">
      <alignment horizontal="left"/>
      <protection locked="0"/>
    </xf>
    <xf numFmtId="49" fontId="0" fillId="5" borderId="16" xfId="0" applyNumberFormat="1" applyFill="1" applyBorder="1" applyAlignment="1" applyProtection="1">
      <alignment horizontal="left" vertical="center"/>
      <protection locked="0"/>
    </xf>
    <xf numFmtId="0" fontId="2" fillId="3" borderId="25" xfId="0" applyFont="1" applyFill="1" applyBorder="1" applyAlignment="1">
      <alignment horizontal="right"/>
    </xf>
    <xf numFmtId="164" fontId="0" fillId="0" borderId="0" xfId="0" applyNumberFormat="1"/>
    <xf numFmtId="49" fontId="4" fillId="2" borderId="21" xfId="1" applyNumberFormat="1" applyFill="1" applyBorder="1" applyAlignment="1" applyProtection="1">
      <alignment vertical="center"/>
      <protection locked="0"/>
    </xf>
    <xf numFmtId="0" fontId="2" fillId="0" borderId="0" xfId="0" applyFont="1"/>
    <xf numFmtId="0" fontId="0" fillId="2" borderId="26" xfId="0" applyFill="1" applyBorder="1" applyAlignment="1" applyProtection="1">
      <alignment horizontal="center" vertical="center"/>
      <protection locked="0"/>
    </xf>
    <xf numFmtId="0" fontId="6" fillId="3" borderId="14" xfId="0" applyFont="1" applyFill="1" applyBorder="1" applyAlignment="1">
      <alignment vertical="center" wrapText="1"/>
    </xf>
    <xf numFmtId="0" fontId="6" fillId="3" borderId="15" xfId="0" applyFont="1" applyFill="1" applyBorder="1" applyAlignment="1">
      <alignment vertical="center" wrapText="1"/>
    </xf>
    <xf numFmtId="0" fontId="6" fillId="3" borderId="16" xfId="0" applyFont="1" applyFill="1" applyBorder="1" applyAlignment="1">
      <alignment vertical="center" wrapText="1"/>
    </xf>
    <xf numFmtId="0" fontId="2" fillId="4" borderId="0" xfId="0" applyFont="1" applyFill="1" applyAlignment="1">
      <alignment horizontal="left" wrapText="1"/>
    </xf>
    <xf numFmtId="0" fontId="0" fillId="0" borderId="34" xfId="0" applyBorder="1" applyProtection="1">
      <protection locked="0"/>
    </xf>
    <xf numFmtId="14" fontId="0" fillId="0" borderId="1" xfId="0" applyNumberFormat="1" applyBorder="1" applyAlignment="1">
      <alignment horizontal="right"/>
    </xf>
    <xf numFmtId="14" fontId="0" fillId="0" borderId="1" xfId="0" applyNumberFormat="1" applyBorder="1"/>
    <xf numFmtId="14" fontId="5" fillId="3" borderId="13" xfId="0" applyNumberFormat="1" applyFont="1" applyFill="1" applyBorder="1" applyAlignment="1">
      <alignment horizontal="left" vertical="top" wrapText="1"/>
    </xf>
    <xf numFmtId="14" fontId="0" fillId="2" borderId="22" xfId="0" applyNumberFormat="1" applyFill="1" applyBorder="1" applyAlignment="1" applyProtection="1">
      <alignment horizontal="left" vertical="center"/>
      <protection locked="0"/>
    </xf>
    <xf numFmtId="14" fontId="0" fillId="2" borderId="15" xfId="0" applyNumberFormat="1" applyFill="1" applyBorder="1" applyAlignment="1" applyProtection="1">
      <alignment horizontal="left" vertical="center"/>
      <protection locked="0"/>
    </xf>
    <xf numFmtId="14" fontId="0" fillId="0" borderId="2" xfId="0" applyNumberFormat="1" applyBorder="1" applyAlignment="1" applyProtection="1">
      <alignment vertical="center" wrapText="1"/>
      <protection locked="0"/>
    </xf>
    <xf numFmtId="14" fontId="0" fillId="0" borderId="0" xfId="0" applyNumberFormat="1" applyAlignment="1" applyProtection="1">
      <alignment horizontal="left" vertical="top"/>
      <protection hidden="1"/>
    </xf>
    <xf numFmtId="14" fontId="0" fillId="0" borderId="0" xfId="0" applyNumberFormat="1" applyProtection="1">
      <protection hidden="1"/>
    </xf>
    <xf numFmtId="0" fontId="2" fillId="0" borderId="0" xfId="0" applyFont="1" applyProtection="1">
      <protection hidden="1"/>
    </xf>
    <xf numFmtId="0" fontId="2" fillId="0" borderId="0" xfId="0" applyFont="1" applyAlignment="1" applyProtection="1">
      <alignment horizontal="left" vertical="top"/>
      <protection hidden="1"/>
    </xf>
    <xf numFmtId="49" fontId="0" fillId="0" borderId="15" xfId="0" applyNumberFormat="1" applyBorder="1" applyAlignment="1" applyProtection="1">
      <alignment horizontal="left" vertical="center"/>
      <protection locked="0"/>
    </xf>
    <xf numFmtId="49" fontId="0" fillId="0" borderId="16" xfId="0" applyNumberFormat="1" applyBorder="1" applyAlignment="1" applyProtection="1">
      <alignment horizontal="center" vertical="top" wrapText="1"/>
      <protection locked="0"/>
    </xf>
    <xf numFmtId="0" fontId="0" fillId="0" borderId="0" xfId="0" applyAlignment="1">
      <alignment vertical="top" wrapText="1"/>
    </xf>
    <xf numFmtId="0" fontId="8" fillId="3" borderId="35" xfId="0" applyFont="1" applyFill="1" applyBorder="1" applyAlignment="1">
      <alignment vertical="center"/>
    </xf>
    <xf numFmtId="0" fontId="8" fillId="3" borderId="36" xfId="0" applyFont="1" applyFill="1" applyBorder="1" applyAlignment="1">
      <alignment vertical="center" wrapText="1"/>
    </xf>
    <xf numFmtId="0" fontId="3" fillId="4" borderId="17" xfId="0" applyFont="1" applyFill="1" applyBorder="1" applyAlignment="1">
      <alignment horizontal="center" wrapText="1"/>
    </xf>
    <xf numFmtId="0" fontId="3" fillId="4" borderId="18" xfId="0" applyFont="1" applyFill="1" applyBorder="1" applyAlignment="1">
      <alignment horizontal="center" wrapText="1"/>
    </xf>
    <xf numFmtId="0" fontId="3" fillId="4" borderId="0" xfId="0" applyFont="1" applyFill="1" applyAlignment="1">
      <alignment wrapText="1"/>
    </xf>
    <xf numFmtId="0" fontId="0" fillId="2" borderId="1" xfId="0" applyFill="1" applyBorder="1" applyAlignment="1">
      <alignment vertical="top" wrapText="1"/>
    </xf>
    <xf numFmtId="0" fontId="4" fillId="3" borderId="2" xfId="1" quotePrefix="1" applyFill="1" applyBorder="1" applyAlignment="1">
      <alignment vertical="center"/>
    </xf>
    <xf numFmtId="0" fontId="4" fillId="3" borderId="1" xfId="1" quotePrefix="1" applyFill="1" applyBorder="1" applyAlignment="1">
      <alignment vertical="center"/>
    </xf>
    <xf numFmtId="0" fontId="0" fillId="2" borderId="34" xfId="0" applyFill="1" applyBorder="1" applyAlignment="1">
      <alignment vertical="top" wrapText="1"/>
    </xf>
    <xf numFmtId="0" fontId="2" fillId="9" borderId="1" xfId="0" applyFont="1" applyFill="1" applyBorder="1"/>
    <xf numFmtId="0" fontId="0" fillId="9" borderId="1" xfId="0" applyFill="1" applyBorder="1" applyAlignment="1">
      <alignment wrapText="1"/>
    </xf>
    <xf numFmtId="0" fontId="0" fillId="9" borderId="1" xfId="0" applyFill="1" applyBorder="1" applyAlignment="1">
      <alignment horizontal="left" vertical="top" wrapText="1"/>
    </xf>
    <xf numFmtId="0" fontId="0" fillId="9" borderId="1" xfId="0" applyFill="1" applyBorder="1"/>
    <xf numFmtId="0" fontId="2" fillId="9" borderId="11" xfId="0" applyFont="1" applyFill="1" applyBorder="1" applyAlignment="1">
      <alignment vertical="center" wrapText="1"/>
    </xf>
    <xf numFmtId="0" fontId="1" fillId="9" borderId="1" xfId="0" applyFont="1" applyFill="1" applyBorder="1" applyAlignment="1">
      <alignment horizontal="left" vertical="top" wrapText="1"/>
    </xf>
    <xf numFmtId="0" fontId="2" fillId="10" borderId="31" xfId="0" applyFont="1" applyFill="1" applyBorder="1" applyAlignment="1">
      <alignment vertical="center" wrapText="1"/>
    </xf>
    <xf numFmtId="0" fontId="2" fillId="10" borderId="29" xfId="0" applyFont="1" applyFill="1" applyBorder="1" applyAlignment="1">
      <alignment vertical="center" wrapText="1"/>
    </xf>
    <xf numFmtId="0" fontId="0" fillId="3" borderId="19" xfId="0" applyFill="1" applyBorder="1" applyAlignment="1">
      <alignment vertical="top" wrapText="1"/>
    </xf>
    <xf numFmtId="0" fontId="0" fillId="3" borderId="30" xfId="0" applyFill="1" applyBorder="1" applyAlignment="1">
      <alignment vertical="top" wrapText="1"/>
    </xf>
    <xf numFmtId="0" fontId="0" fillId="3" borderId="33" xfId="0" applyFill="1" applyBorder="1" applyAlignment="1">
      <alignment vertical="top" wrapText="1"/>
    </xf>
    <xf numFmtId="0" fontId="3" fillId="4" borderId="0" xfId="0" applyFont="1" applyFill="1" applyAlignment="1">
      <alignment horizontal="center" vertical="center" wrapText="1"/>
    </xf>
    <xf numFmtId="0" fontId="0" fillId="4" borderId="0" xfId="0" applyFill="1" applyAlignment="1">
      <alignment vertical="center"/>
    </xf>
    <xf numFmtId="0" fontId="0" fillId="0" borderId="0" xfId="0" applyAlignment="1">
      <alignment vertical="center"/>
    </xf>
    <xf numFmtId="0" fontId="1" fillId="0" borderId="0" xfId="0" applyFont="1" applyAlignment="1">
      <alignment vertical="center"/>
    </xf>
    <xf numFmtId="0" fontId="0" fillId="2" borderId="1" xfId="0" applyFill="1" applyBorder="1" applyAlignment="1">
      <alignment vertical="center"/>
    </xf>
    <xf numFmtId="0" fontId="1" fillId="2" borderId="1" xfId="0" applyFont="1" applyFill="1" applyBorder="1" applyAlignment="1">
      <alignment vertical="center"/>
    </xf>
    <xf numFmtId="49" fontId="0" fillId="2" borderId="15" xfId="0" applyNumberFormat="1" applyFill="1" applyBorder="1" applyAlignment="1" applyProtection="1">
      <alignment horizontal="left" vertical="center" wrapText="1"/>
      <protection locked="0"/>
    </xf>
    <xf numFmtId="0" fontId="2" fillId="3" borderId="37" xfId="0" applyFont="1" applyFill="1" applyBorder="1"/>
    <xf numFmtId="0" fontId="0" fillId="11" borderId="1" xfId="0" applyFill="1" applyBorder="1" applyAlignment="1">
      <alignment vertical="center"/>
    </xf>
    <xf numFmtId="0" fontId="1" fillId="11" borderId="1" xfId="0" applyFont="1" applyFill="1" applyBorder="1" applyAlignment="1">
      <alignment vertical="center"/>
    </xf>
    <xf numFmtId="0" fontId="0" fillId="11" borderId="1" xfId="0" applyFill="1" applyBorder="1" applyAlignment="1">
      <alignment vertical="center" wrapText="1"/>
    </xf>
    <xf numFmtId="0" fontId="2" fillId="9" borderId="11" xfId="0" applyFont="1" applyFill="1" applyBorder="1" applyAlignment="1">
      <alignment vertical="top" wrapText="1"/>
    </xf>
    <xf numFmtId="0" fontId="0" fillId="0" borderId="1" xfId="0" applyBorder="1" applyAlignment="1">
      <alignment wrapText="1"/>
    </xf>
    <xf numFmtId="49" fontId="0" fillId="3" borderId="1" xfId="0" applyNumberFormat="1" applyFill="1" applyBorder="1"/>
    <xf numFmtId="0" fontId="3" fillId="0" borderId="30" xfId="0" applyFont="1" applyBorder="1" applyAlignment="1">
      <alignment vertical="top" wrapText="1"/>
    </xf>
    <xf numFmtId="0" fontId="3" fillId="0" borderId="30" xfId="0" applyFont="1" applyBorder="1" applyAlignment="1">
      <alignment vertical="top"/>
    </xf>
    <xf numFmtId="0" fontId="3" fillId="0" borderId="0" xfId="0" applyFont="1" applyAlignment="1">
      <alignment vertical="top" wrapText="1"/>
    </xf>
    <xf numFmtId="0" fontId="3" fillId="0" borderId="0" xfId="0" applyFont="1" applyAlignment="1">
      <alignment vertical="top"/>
    </xf>
    <xf numFmtId="0" fontId="2" fillId="11" borderId="1" xfId="0" applyFont="1" applyFill="1" applyBorder="1" applyAlignment="1">
      <alignment vertical="center"/>
    </xf>
    <xf numFmtId="0" fontId="2" fillId="9" borderId="1" xfId="0" applyFont="1" applyFill="1" applyBorder="1" applyAlignment="1">
      <alignment horizontal="left" vertical="top" wrapText="1"/>
    </xf>
    <xf numFmtId="0" fontId="0" fillId="2" borderId="34" xfId="0" quotePrefix="1" applyFill="1" applyBorder="1" applyAlignment="1">
      <alignment vertical="top" wrapText="1"/>
    </xf>
    <xf numFmtId="0" fontId="17" fillId="11" borderId="1" xfId="0" applyFont="1" applyFill="1" applyBorder="1" applyAlignment="1">
      <alignment vertical="center"/>
    </xf>
    <xf numFmtId="0" fontId="0" fillId="2" borderId="1" xfId="0" quotePrefix="1" applyFill="1" applyBorder="1" applyAlignment="1">
      <alignment vertical="top" wrapText="1"/>
    </xf>
    <xf numFmtId="0" fontId="0" fillId="0" borderId="1" xfId="0" quotePrefix="1" applyBorder="1" applyAlignment="1">
      <alignment vertical="top" wrapText="1"/>
    </xf>
    <xf numFmtId="49" fontId="0" fillId="2" borderId="14" xfId="0" applyNumberFormat="1" applyFill="1" applyBorder="1" applyAlignment="1" applyProtection="1">
      <alignment horizontal="left" vertical="center" wrapText="1"/>
      <protection locked="0"/>
    </xf>
    <xf numFmtId="49" fontId="0" fillId="2" borderId="15" xfId="0" applyNumberFormat="1" applyFill="1" applyBorder="1" applyAlignment="1" applyProtection="1">
      <alignment horizontal="left" wrapText="1"/>
      <protection locked="0"/>
    </xf>
    <xf numFmtId="0" fontId="18" fillId="3" borderId="12" xfId="0" applyFont="1" applyFill="1" applyBorder="1" applyAlignment="1">
      <alignment vertical="top" wrapText="1"/>
    </xf>
    <xf numFmtId="0" fontId="0" fillId="0" borderId="38" xfId="0" applyBorder="1" applyAlignment="1">
      <alignment vertical="top" wrapText="1"/>
    </xf>
    <xf numFmtId="0" fontId="19" fillId="3" borderId="11" xfId="0" applyFont="1" applyFill="1" applyBorder="1" applyAlignment="1">
      <alignment horizontal="center" vertical="center" wrapText="1"/>
    </xf>
    <xf numFmtId="0" fontId="13" fillId="0" borderId="1" xfId="2" applyFont="1" applyBorder="1" applyAlignment="1">
      <alignment horizontal="left" vertical="center"/>
    </xf>
    <xf numFmtId="0" fontId="2" fillId="3" borderId="24" xfId="0" applyFont="1" applyFill="1" applyBorder="1"/>
    <xf numFmtId="0" fontId="0" fillId="11" borderId="0" xfId="0" applyFill="1" applyAlignment="1">
      <alignment vertical="center"/>
    </xf>
    <xf numFmtId="0" fontId="1" fillId="11" borderId="0" xfId="0" applyFont="1" applyFill="1" applyAlignment="1">
      <alignment vertical="center"/>
    </xf>
    <xf numFmtId="0" fontId="0" fillId="11" borderId="0" xfId="0" applyFill="1" applyAlignment="1">
      <alignment vertical="center" wrapText="1"/>
    </xf>
    <xf numFmtId="0" fontId="1" fillId="2" borderId="0" xfId="0" applyFont="1" applyFill="1" applyAlignment="1">
      <alignment vertical="center"/>
    </xf>
    <xf numFmtId="0" fontId="11" fillId="3" borderId="15" xfId="0" applyFont="1" applyFill="1" applyBorder="1" applyAlignment="1">
      <alignment vertical="center" wrapText="1"/>
    </xf>
    <xf numFmtId="0" fontId="11" fillId="3" borderId="14" xfId="0" applyFont="1" applyFill="1" applyBorder="1" applyAlignment="1">
      <alignment vertical="center" wrapText="1"/>
    </xf>
    <xf numFmtId="0" fontId="0" fillId="0" borderId="0" xfId="0" applyProtection="1">
      <protection locked="0"/>
    </xf>
    <xf numFmtId="0" fontId="19" fillId="4" borderId="24" xfId="0" applyFont="1" applyFill="1" applyBorder="1" applyAlignment="1">
      <alignment horizontal="left" vertical="center" wrapText="1"/>
    </xf>
    <xf numFmtId="0" fontId="16" fillId="0" borderId="0" xfId="2"/>
    <xf numFmtId="0" fontId="2" fillId="4" borderId="0" xfId="0" applyFont="1" applyFill="1" applyAlignment="1">
      <alignment horizontal="center" wrapText="1"/>
    </xf>
    <xf numFmtId="0" fontId="2" fillId="4" borderId="0" xfId="0" applyFont="1" applyFill="1" applyAlignment="1">
      <alignment horizontal="left" wrapText="1"/>
    </xf>
    <xf numFmtId="0" fontId="3" fillId="4" borderId="23" xfId="0" applyFont="1" applyFill="1" applyBorder="1" applyAlignment="1">
      <alignment horizontal="center" wrapText="1"/>
    </xf>
    <xf numFmtId="0" fontId="3" fillId="4" borderId="24" xfId="0" applyFont="1" applyFill="1" applyBorder="1" applyAlignment="1">
      <alignment horizontal="center" wrapText="1"/>
    </xf>
    <xf numFmtId="0" fontId="3" fillId="4" borderId="25" xfId="0" applyFont="1" applyFill="1" applyBorder="1" applyAlignment="1">
      <alignment horizontal="center" wrapText="1"/>
    </xf>
    <xf numFmtId="0" fontId="2" fillId="6" borderId="0" xfId="0" applyFont="1" applyFill="1" applyAlignment="1">
      <alignment horizontal="center" wrapText="1"/>
    </xf>
    <xf numFmtId="0" fontId="2" fillId="7" borderId="0" xfId="0" applyFont="1" applyFill="1" applyAlignment="1">
      <alignment horizontal="center" wrapText="1"/>
    </xf>
    <xf numFmtId="0" fontId="2" fillId="8" borderId="0" xfId="0" applyFont="1" applyFill="1" applyAlignment="1">
      <alignment horizontal="center" wrapText="1"/>
    </xf>
    <xf numFmtId="0" fontId="7" fillId="3" borderId="17" xfId="0" applyFont="1" applyFill="1" applyBorder="1" applyAlignment="1">
      <alignment horizontal="center" vertical="center" wrapText="1"/>
    </xf>
    <xf numFmtId="0" fontId="7" fillId="3" borderId="18" xfId="0" applyFont="1" applyFill="1" applyBorder="1" applyAlignment="1">
      <alignment horizontal="center" vertical="center" wrapText="1"/>
    </xf>
    <xf numFmtId="0" fontId="7" fillId="3" borderId="19" xfId="0" applyFont="1" applyFill="1" applyBorder="1" applyAlignment="1">
      <alignment horizontal="center" vertical="center" wrapText="1"/>
    </xf>
    <xf numFmtId="0" fontId="7" fillId="3" borderId="11" xfId="0" applyFont="1" applyFill="1" applyBorder="1" applyAlignment="1">
      <alignment horizontal="center" vertical="center" wrapText="1"/>
    </xf>
    <xf numFmtId="0" fontId="7" fillId="3" borderId="12" xfId="0" applyFont="1" applyFill="1" applyBorder="1" applyAlignment="1">
      <alignment horizontal="center" vertical="center" wrapText="1"/>
    </xf>
    <xf numFmtId="0" fontId="7" fillId="3" borderId="13" xfId="0" applyFont="1" applyFill="1" applyBorder="1" applyAlignment="1">
      <alignment horizontal="center" vertical="center" wrapText="1"/>
    </xf>
    <xf numFmtId="0" fontId="2" fillId="3" borderId="17" xfId="0" applyFont="1" applyFill="1" applyBorder="1" applyAlignment="1">
      <alignment horizontal="left" vertical="top" wrapText="1"/>
    </xf>
    <xf numFmtId="0" fontId="2" fillId="3" borderId="29" xfId="0" applyFont="1" applyFill="1" applyBorder="1" applyAlignment="1">
      <alignment horizontal="left" vertical="top" wrapText="1"/>
    </xf>
    <xf numFmtId="0" fontId="2" fillId="3" borderId="31" xfId="0" applyFont="1" applyFill="1" applyBorder="1" applyAlignment="1">
      <alignment horizontal="left" vertical="top" wrapText="1"/>
    </xf>
    <xf numFmtId="0" fontId="20" fillId="3" borderId="11" xfId="0" applyFont="1" applyFill="1" applyBorder="1" applyAlignment="1">
      <alignment horizontal="center" wrapText="1"/>
    </xf>
    <xf numFmtId="0" fontId="20" fillId="3" borderId="12" xfId="0" applyFont="1" applyFill="1" applyBorder="1" applyAlignment="1">
      <alignment horizontal="center" wrapText="1"/>
    </xf>
    <xf numFmtId="0" fontId="20" fillId="3" borderId="13" xfId="0" applyFont="1" applyFill="1" applyBorder="1" applyAlignment="1">
      <alignment horizontal="center" wrapText="1"/>
    </xf>
    <xf numFmtId="0" fontId="2" fillId="2" borderId="30" xfId="0" applyFont="1" applyFill="1" applyBorder="1" applyAlignment="1">
      <alignment horizontal="left" vertical="top"/>
    </xf>
    <xf numFmtId="0" fontId="0" fillId="3" borderId="18" xfId="0" applyFill="1" applyBorder="1" applyAlignment="1">
      <alignment vertical="top" wrapText="1"/>
    </xf>
    <xf numFmtId="0" fontId="0" fillId="3" borderId="0" xfId="0" applyFill="1" applyAlignment="1">
      <alignment vertical="top" wrapText="1"/>
    </xf>
    <xf numFmtId="0" fontId="0" fillId="3" borderId="32" xfId="0" applyFill="1" applyBorder="1" applyAlignment="1">
      <alignment vertical="top" wrapText="1"/>
    </xf>
    <xf numFmtId="0" fontId="9" fillId="3" borderId="23" xfId="0" applyFont="1" applyFill="1" applyBorder="1" applyAlignment="1">
      <alignment horizontal="center" vertical="center" wrapText="1"/>
    </xf>
    <xf numFmtId="0" fontId="9" fillId="3" borderId="24" xfId="0" applyFont="1" applyFill="1" applyBorder="1" applyAlignment="1">
      <alignment horizontal="center" vertical="center" wrapText="1"/>
    </xf>
    <xf numFmtId="0" fontId="9" fillId="3" borderId="25" xfId="0" applyFont="1" applyFill="1" applyBorder="1" applyAlignment="1">
      <alignment horizontal="center" vertical="center" wrapText="1"/>
    </xf>
    <xf numFmtId="0" fontId="2" fillId="4" borderId="29" xfId="0" applyFont="1" applyFill="1" applyBorder="1" applyAlignment="1">
      <alignment horizontal="left" wrapText="1"/>
    </xf>
    <xf numFmtId="0" fontId="9" fillId="3" borderId="23" xfId="0" applyFont="1" applyFill="1" applyBorder="1" applyAlignment="1">
      <alignment horizontal="left" vertical="center" wrapText="1"/>
    </xf>
    <xf numFmtId="0" fontId="9" fillId="3" borderId="24" xfId="0" applyFont="1" applyFill="1" applyBorder="1" applyAlignment="1">
      <alignment horizontal="left" vertical="center" wrapText="1"/>
    </xf>
    <xf numFmtId="0" fontId="9" fillId="3" borderId="25" xfId="0" applyFont="1" applyFill="1" applyBorder="1" applyAlignment="1">
      <alignment horizontal="left" vertical="center" wrapText="1"/>
    </xf>
    <xf numFmtId="0" fontId="5" fillId="4" borderId="24" xfId="0" applyFont="1" applyFill="1" applyBorder="1" applyAlignment="1">
      <alignment horizontal="left" wrapText="1"/>
    </xf>
    <xf numFmtId="0" fontId="3" fillId="4" borderId="29" xfId="0" applyFont="1" applyFill="1" applyBorder="1" applyAlignment="1">
      <alignment horizontal="center" wrapText="1"/>
    </xf>
    <xf numFmtId="0" fontId="0" fillId="4" borderId="30" xfId="0" applyFill="1" applyBorder="1" applyAlignment="1">
      <alignment horizontal="center"/>
    </xf>
    <xf numFmtId="0" fontId="10" fillId="4" borderId="23" xfId="0" applyFont="1" applyFill="1" applyBorder="1" applyAlignment="1">
      <alignment horizontal="left" wrapText="1"/>
    </xf>
    <xf numFmtId="0" fontId="12" fillId="4" borderId="24" xfId="0" applyFont="1" applyFill="1" applyBorder="1" applyAlignment="1">
      <alignment horizontal="left" wrapText="1"/>
    </xf>
    <xf numFmtId="0" fontId="12" fillId="4" borderId="25" xfId="0" applyFont="1" applyFill="1" applyBorder="1" applyAlignment="1">
      <alignment horizontal="left" wrapText="1"/>
    </xf>
    <xf numFmtId="0" fontId="5" fillId="3" borderId="11" xfId="0" applyFont="1" applyFill="1" applyBorder="1" applyAlignment="1">
      <alignment horizontal="center" vertical="center" wrapText="1"/>
    </xf>
    <xf numFmtId="0" fontId="5" fillId="3" borderId="12" xfId="0" applyFont="1" applyFill="1" applyBorder="1" applyAlignment="1">
      <alignment horizontal="center" vertical="center" wrapText="1"/>
    </xf>
    <xf numFmtId="0" fontId="5" fillId="3" borderId="13" xfId="0" applyFont="1" applyFill="1" applyBorder="1" applyAlignment="1">
      <alignment horizontal="center" vertical="center" wrapText="1"/>
    </xf>
    <xf numFmtId="0" fontId="9" fillId="3" borderId="17" xfId="0" applyFont="1" applyFill="1" applyBorder="1" applyAlignment="1">
      <alignment horizontal="center" vertical="center" wrapText="1"/>
    </xf>
    <xf numFmtId="0" fontId="9" fillId="3" borderId="18" xfId="0" applyFont="1" applyFill="1" applyBorder="1" applyAlignment="1">
      <alignment horizontal="center" vertical="center" wrapText="1"/>
    </xf>
    <xf numFmtId="0" fontId="9" fillId="3" borderId="19" xfId="0" applyFont="1" applyFill="1" applyBorder="1" applyAlignment="1">
      <alignment horizontal="center" vertical="center" wrapText="1"/>
    </xf>
    <xf numFmtId="0" fontId="9" fillId="3" borderId="27" xfId="0" applyFont="1" applyFill="1" applyBorder="1" applyAlignment="1">
      <alignment horizontal="center" vertical="center" wrapText="1"/>
    </xf>
    <xf numFmtId="0" fontId="9" fillId="3" borderId="20" xfId="0" applyFont="1" applyFill="1" applyBorder="1" applyAlignment="1">
      <alignment horizontal="center" vertical="center" wrapText="1"/>
    </xf>
    <xf numFmtId="0" fontId="10" fillId="4" borderId="24" xfId="0" applyFont="1" applyFill="1" applyBorder="1" applyAlignment="1">
      <alignment horizontal="left" wrapText="1"/>
    </xf>
    <xf numFmtId="0" fontId="10" fillId="4" borderId="25" xfId="0" applyFont="1" applyFill="1" applyBorder="1" applyAlignment="1">
      <alignment horizontal="left" wrapText="1"/>
    </xf>
  </cellXfs>
  <cellStyles count="3">
    <cellStyle name="Hyperlink" xfId="1" builtinId="8"/>
    <cellStyle name="Normal" xfId="0" builtinId="0"/>
    <cellStyle name="Normal 2" xfId="2" xr:uid="{1677E841-AA79-4179-ADB2-6A3BCC7C6A12}"/>
  </cellStyles>
  <dxfs count="70">
    <dxf>
      <fill>
        <patternFill patternType="solid">
          <fgColor theme="0"/>
          <bgColor theme="5" tint="0.79998168889431442"/>
        </patternFill>
      </fill>
    </dxf>
    <dxf>
      <fill>
        <patternFill patternType="gray125">
          <fgColor rgb="FFFFFF00"/>
        </patternFill>
      </fill>
    </dxf>
    <dxf>
      <fill>
        <patternFill>
          <bgColor theme="5" tint="0.79998168889431442"/>
        </patternFill>
      </fill>
    </dxf>
    <dxf>
      <fill>
        <patternFill>
          <bgColor theme="5" tint="0.79998168889431442"/>
        </patternFill>
      </fill>
    </dxf>
    <dxf>
      <fill>
        <patternFill patternType="mediumGray">
          <fgColor theme="9" tint="0.79995117038483843"/>
          <bgColor theme="0"/>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patternType="gray125">
          <fgColor rgb="FFFFFF00"/>
          <bgColor theme="0"/>
        </patternFill>
      </fill>
    </dxf>
    <dxf>
      <fill>
        <patternFill patternType="gray125">
          <fgColor rgb="FFFFFF00"/>
          <bgColor theme="0"/>
        </patternFill>
      </fill>
    </dxf>
    <dxf>
      <fill>
        <patternFill patternType="gray125">
          <fgColor rgb="FFFFFF00"/>
          <bgColor theme="0"/>
        </patternFill>
      </fill>
    </dxf>
    <dxf>
      <fill>
        <patternFill patternType="gray125">
          <fgColor rgb="FFFFFF00"/>
          <bgColor theme="0"/>
        </patternFill>
      </fill>
    </dxf>
    <dxf>
      <fill>
        <patternFill patternType="gray125">
          <fgColor rgb="FFFFFF00"/>
          <bgColor theme="0"/>
        </patternFill>
      </fill>
    </dxf>
    <dxf>
      <fill>
        <patternFill patternType="gray125">
          <fgColor rgb="FFFFFF00"/>
          <bgColor theme="0"/>
        </patternFill>
      </fill>
    </dxf>
    <dxf>
      <fill>
        <patternFill patternType="gray125">
          <fgColor rgb="FFFFFF00"/>
          <bgColor theme="0"/>
        </patternFill>
      </fill>
    </dxf>
    <dxf>
      <fill>
        <patternFill patternType="gray125">
          <fgColor rgb="FFFFFF00"/>
          <bgColor theme="0"/>
        </patternFill>
      </fill>
    </dxf>
    <dxf>
      <fill>
        <patternFill patternType="gray125">
          <fgColor rgb="FFFFFF00"/>
          <bgColor theme="0"/>
        </patternFill>
      </fill>
    </dxf>
    <dxf>
      <fill>
        <patternFill patternType="gray125">
          <fgColor rgb="FFFFFF00"/>
          <bgColor theme="0"/>
        </patternFill>
      </fill>
    </dxf>
    <dxf>
      <fill>
        <patternFill patternType="gray125">
          <fgColor rgb="FFFFFF00"/>
          <bgColor theme="0"/>
        </patternFill>
      </fill>
    </dxf>
    <dxf>
      <fill>
        <patternFill patternType="gray125">
          <fgColor rgb="FFFFFF00"/>
          <bgColor theme="0"/>
        </patternFill>
      </fill>
    </dxf>
    <dxf>
      <fill>
        <patternFill patternType="gray125">
          <fgColor rgb="FFFFFF00"/>
          <bgColor theme="0"/>
        </patternFill>
      </fill>
    </dxf>
    <dxf>
      <fill>
        <patternFill patternType="gray125">
          <fgColor rgb="FFFFFF00"/>
          <bgColor theme="0"/>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patternType="mediumGray">
          <fgColor theme="9" tint="0.79998168889431442"/>
          <bgColor theme="0"/>
        </patternFill>
      </fill>
    </dxf>
    <dxf>
      <fill>
        <patternFill>
          <bgColor theme="5" tint="0.79998168889431442"/>
        </patternFill>
      </fill>
    </dxf>
    <dxf>
      <fill>
        <patternFill patternType="mediumGray">
          <fgColor theme="9" tint="0.79998168889431442"/>
          <bgColor theme="0"/>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patternType="mediumGray">
          <fgColor theme="9" tint="0.79998168889431442"/>
          <bgColor theme="0"/>
        </patternFill>
      </fill>
    </dxf>
    <dxf>
      <fill>
        <patternFill patternType="mediumGray">
          <fgColor theme="9" tint="0.79995117038483843"/>
          <bgColor auto="1"/>
        </patternFill>
      </fill>
    </dxf>
    <dxf>
      <fill>
        <patternFill>
          <bgColor theme="5" tint="0.79998168889431442"/>
        </patternFill>
      </fill>
    </dxf>
    <dxf>
      <fill>
        <patternFill patternType="mediumGray">
          <fgColor theme="9" tint="0.79998168889431442"/>
          <bgColor theme="0"/>
        </patternFill>
      </fill>
    </dxf>
    <dxf>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1359802</xdr:colOff>
      <xdr:row>1</xdr:row>
      <xdr:rowOff>20320</xdr:rowOff>
    </xdr:to>
    <xdr:pic>
      <xdr:nvPicPr>
        <xdr:cNvPr id="3" name="Picture 2">
          <a:extLst>
            <a:ext uri="{FF2B5EF4-FFF2-40B4-BE49-F238E27FC236}">
              <a16:creationId xmlns:a16="http://schemas.microsoft.com/office/drawing/2014/main" id="{86AA854A-1963-4403-88D3-44F6B1A70B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952257" cy="5689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943242</xdr:colOff>
      <xdr:row>1</xdr:row>
      <xdr:rowOff>26035</xdr:rowOff>
    </xdr:to>
    <xdr:pic>
      <xdr:nvPicPr>
        <xdr:cNvPr id="3" name="Picture 2">
          <a:extLst>
            <a:ext uri="{FF2B5EF4-FFF2-40B4-BE49-F238E27FC236}">
              <a16:creationId xmlns:a16="http://schemas.microsoft.com/office/drawing/2014/main" id="{7AC369AB-C778-4C4C-A4F5-BF0C8E1924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950987" cy="57404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32658</xdr:colOff>
      <xdr:row>0</xdr:row>
      <xdr:rowOff>0</xdr:rowOff>
    </xdr:from>
    <xdr:to>
      <xdr:col>2</xdr:col>
      <xdr:colOff>258108</xdr:colOff>
      <xdr:row>1</xdr:row>
      <xdr:rowOff>0</xdr:rowOff>
    </xdr:to>
    <xdr:pic>
      <xdr:nvPicPr>
        <xdr:cNvPr id="2" name="Picture 1">
          <a:extLst>
            <a:ext uri="{FF2B5EF4-FFF2-40B4-BE49-F238E27FC236}">
              <a16:creationId xmlns:a16="http://schemas.microsoft.com/office/drawing/2014/main" id="{47D25E45-7331-4FC8-80D3-00FA353F61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483" y="0"/>
          <a:ext cx="1990750" cy="6000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51708</xdr:colOff>
      <xdr:row>0</xdr:row>
      <xdr:rowOff>0</xdr:rowOff>
    </xdr:from>
    <xdr:to>
      <xdr:col>2</xdr:col>
      <xdr:colOff>273983</xdr:colOff>
      <xdr:row>1</xdr:row>
      <xdr:rowOff>0</xdr:rowOff>
    </xdr:to>
    <xdr:pic>
      <xdr:nvPicPr>
        <xdr:cNvPr id="2" name="Picture 1">
          <a:extLst>
            <a:ext uri="{FF2B5EF4-FFF2-40B4-BE49-F238E27FC236}">
              <a16:creationId xmlns:a16="http://schemas.microsoft.com/office/drawing/2014/main" id="{DAEC8CAA-AB94-4D58-883D-3D41D8533E3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708" y="0"/>
          <a:ext cx="1898675" cy="6000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32658</xdr:colOff>
      <xdr:row>0</xdr:row>
      <xdr:rowOff>0</xdr:rowOff>
    </xdr:from>
    <xdr:to>
      <xdr:col>1</xdr:col>
      <xdr:colOff>1582869</xdr:colOff>
      <xdr:row>0</xdr:row>
      <xdr:rowOff>593090</xdr:rowOff>
    </xdr:to>
    <xdr:pic>
      <xdr:nvPicPr>
        <xdr:cNvPr id="2" name="Picture 1">
          <a:extLst>
            <a:ext uri="{FF2B5EF4-FFF2-40B4-BE49-F238E27FC236}">
              <a16:creationId xmlns:a16="http://schemas.microsoft.com/office/drawing/2014/main" id="{1157427D-A405-445D-9A17-A681D9771A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388" y="0"/>
          <a:ext cx="1964827" cy="5918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864502</xdr:colOff>
      <xdr:row>1</xdr:row>
      <xdr:rowOff>0</xdr:rowOff>
    </xdr:to>
    <xdr:pic>
      <xdr:nvPicPr>
        <xdr:cNvPr id="3" name="Picture 2">
          <a:extLst>
            <a:ext uri="{FF2B5EF4-FFF2-40B4-BE49-F238E27FC236}">
              <a16:creationId xmlns:a16="http://schemas.microsoft.com/office/drawing/2014/main" id="{5FF92F14-44C8-44C4-96D8-00E36B634C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952257" cy="56896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1201894</xdr:colOff>
      <xdr:row>1</xdr:row>
      <xdr:rowOff>2457</xdr:rowOff>
    </xdr:to>
    <xdr:pic>
      <xdr:nvPicPr>
        <xdr:cNvPr id="4" name="Picture 3">
          <a:extLst>
            <a:ext uri="{FF2B5EF4-FFF2-40B4-BE49-F238E27FC236}">
              <a16:creationId xmlns:a16="http://schemas.microsoft.com/office/drawing/2014/main" id="{4E2BBBE4-C9B8-46C7-AB74-87FFC418EF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972784" cy="59563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1C40C-E652-42C9-A5BD-3FF9B51430F1}">
  <sheetPr codeName="Sheet1"/>
  <dimension ref="A1:D21"/>
  <sheetViews>
    <sheetView tabSelected="1" workbookViewId="0">
      <selection activeCell="C19" sqref="C19"/>
    </sheetView>
  </sheetViews>
  <sheetFormatPr defaultRowHeight="15" x14ac:dyDescent="0.25"/>
  <cols>
    <col min="2" max="2" width="48.5703125" customWidth="1"/>
    <col min="3" max="3" width="81" customWidth="1"/>
  </cols>
  <sheetData>
    <row r="1" spans="1:4" ht="44.45" customHeight="1" thickBot="1" x14ac:dyDescent="0.3">
      <c r="A1" s="10"/>
      <c r="B1" s="11"/>
      <c r="C1" s="10"/>
      <c r="D1" s="10"/>
    </row>
    <row r="2" spans="1:4" ht="44.45" customHeight="1" thickBot="1" x14ac:dyDescent="0.4">
      <c r="A2" s="190" t="s">
        <v>609</v>
      </c>
      <c r="B2" s="191"/>
      <c r="C2" s="192"/>
      <c r="D2" s="10"/>
    </row>
    <row r="3" spans="1:4" ht="15.95" customHeight="1" x14ac:dyDescent="0.25">
      <c r="A3" s="10"/>
      <c r="B3" s="11"/>
      <c r="C3" s="10"/>
      <c r="D3" s="10"/>
    </row>
    <row r="4" spans="1:4" ht="15.95" customHeight="1" x14ac:dyDescent="0.25">
      <c r="A4" s="13"/>
      <c r="B4" s="189" t="s">
        <v>962</v>
      </c>
      <c r="C4" s="189"/>
      <c r="D4" s="10"/>
    </row>
    <row r="5" spans="1:4" ht="15.95" customHeight="1" x14ac:dyDescent="0.25">
      <c r="A5" s="38"/>
      <c r="B5" s="38"/>
      <c r="C5" s="38"/>
      <c r="D5" s="10"/>
    </row>
    <row r="6" spans="1:4" ht="15.95" customHeight="1" x14ac:dyDescent="0.25">
      <c r="A6" s="38"/>
      <c r="B6" s="193" t="s">
        <v>1016</v>
      </c>
      <c r="C6" s="193"/>
      <c r="D6" s="10"/>
    </row>
    <row r="7" spans="1:4" ht="15.95" customHeight="1" x14ac:dyDescent="0.25">
      <c r="A7" s="38"/>
      <c r="B7" s="194" t="s">
        <v>1018</v>
      </c>
      <c r="C7" s="194"/>
      <c r="D7" s="10"/>
    </row>
    <row r="8" spans="1:4" ht="15.95" customHeight="1" x14ac:dyDescent="0.25">
      <c r="A8" s="38"/>
      <c r="B8" s="195" t="s">
        <v>1017</v>
      </c>
      <c r="C8" s="195"/>
      <c r="D8" s="10"/>
    </row>
    <row r="9" spans="1:4" ht="15.95" customHeight="1" x14ac:dyDescent="0.25">
      <c r="A9" s="38"/>
      <c r="B9" s="188"/>
      <c r="C9" s="188"/>
      <c r="D9" s="10"/>
    </row>
    <row r="10" spans="1:4" ht="15.95" customHeight="1" x14ac:dyDescent="0.25">
      <c r="A10" s="38"/>
      <c r="B10" s="189" t="s">
        <v>1019</v>
      </c>
      <c r="C10" s="189"/>
      <c r="D10" s="10"/>
    </row>
    <row r="11" spans="1:4" ht="15.95" customHeight="1" x14ac:dyDescent="0.25">
      <c r="A11" s="38"/>
      <c r="B11" s="113"/>
      <c r="C11" s="113"/>
      <c r="D11" s="10"/>
    </row>
    <row r="12" spans="1:4" ht="15.95" customHeight="1" x14ac:dyDescent="0.25">
      <c r="A12" s="38"/>
      <c r="B12" s="38"/>
      <c r="C12" s="64" t="s">
        <v>995</v>
      </c>
      <c r="D12" s="10"/>
    </row>
    <row r="13" spans="1:4" ht="15.95" customHeight="1" x14ac:dyDescent="0.25">
      <c r="A13" s="10"/>
      <c r="B13" s="11"/>
      <c r="C13" s="10"/>
      <c r="D13" s="10"/>
    </row>
    <row r="14" spans="1:4" ht="15.95" customHeight="1" thickBot="1" x14ac:dyDescent="0.3">
      <c r="A14" s="10"/>
      <c r="B14" s="10"/>
      <c r="C14" s="10"/>
      <c r="D14" s="10"/>
    </row>
    <row r="15" spans="1:4" ht="51.95" customHeight="1" x14ac:dyDescent="0.25">
      <c r="A15" s="36" t="s">
        <v>610</v>
      </c>
      <c r="B15" s="33" t="s">
        <v>596</v>
      </c>
      <c r="C15" s="34" t="s">
        <v>963</v>
      </c>
      <c r="D15" s="10"/>
    </row>
    <row r="16" spans="1:4" ht="51.95" customHeight="1" x14ac:dyDescent="0.25">
      <c r="A16" s="128" t="s">
        <v>611</v>
      </c>
      <c r="B16" s="134" t="s">
        <v>1269</v>
      </c>
      <c r="C16" s="129" t="s">
        <v>1153</v>
      </c>
      <c r="D16" s="10"/>
    </row>
    <row r="17" spans="1:4" ht="51.95" customHeight="1" x14ac:dyDescent="0.25">
      <c r="A17" s="37" t="s">
        <v>612</v>
      </c>
      <c r="B17" s="135" t="s">
        <v>1151</v>
      </c>
      <c r="C17" s="35" t="s">
        <v>1154</v>
      </c>
      <c r="D17" s="10"/>
    </row>
    <row r="18" spans="1:4" ht="51.95" customHeight="1" x14ac:dyDescent="0.25">
      <c r="A18" s="37" t="s">
        <v>612</v>
      </c>
      <c r="B18" s="135" t="s">
        <v>594</v>
      </c>
      <c r="C18" s="35" t="s">
        <v>1154</v>
      </c>
      <c r="D18" s="10"/>
    </row>
    <row r="19" spans="1:4" ht="51.95" customHeight="1" x14ac:dyDescent="0.25">
      <c r="A19" s="37" t="s">
        <v>1270</v>
      </c>
      <c r="B19" s="135" t="s">
        <v>1152</v>
      </c>
      <c r="C19" s="35" t="s">
        <v>1155</v>
      </c>
      <c r="D19" s="10"/>
    </row>
    <row r="20" spans="1:4" x14ac:dyDescent="0.25">
      <c r="A20" s="10"/>
      <c r="B20" s="10"/>
      <c r="C20" s="10"/>
      <c r="D20" s="10"/>
    </row>
    <row r="21" spans="1:4" x14ac:dyDescent="0.25">
      <c r="A21" s="185"/>
    </row>
  </sheetData>
  <sheetProtection algorithmName="SHA-512" hashValue="/zs/9z2AtAy+EIM0/lggKJTq3zDEnVXRrJef91E/BE5+yIwv9SO12RJplWBA5T2OkP+SIR7X0Kb+c9M9ruYCLQ==" saltValue="zCbkhKVtQdu8AvalnoGyfw==" spinCount="100000" sheet="1" objects="1" scenarios="1"/>
  <mergeCells count="7">
    <mergeCell ref="B9:C9"/>
    <mergeCell ref="B10:C10"/>
    <mergeCell ref="B4:C4"/>
    <mergeCell ref="A2:C2"/>
    <mergeCell ref="B6:C6"/>
    <mergeCell ref="B7:C7"/>
    <mergeCell ref="B8:C8"/>
  </mergeCells>
  <hyperlinks>
    <hyperlink ref="B15" location="'Company Info, Intended Activity'!A1" display="Company Information and Intended Activity" xr:uid="{8A7E949C-BF8B-4C4E-B058-0C3B62644E3B}"/>
    <hyperlink ref="B16" location="'Ownership, SOF'!A1" display="Ownership, Source of Funds" xr:uid="{032054A6-C4DC-4AFF-A01A-49482500C91F}"/>
    <hyperlink ref="B17" location="'Representatives and Acc. Users'!A1" display="'Representatives and Acc. Users'!A1" xr:uid="{5A8E973A-2639-48CC-87CF-F3586129040D}"/>
    <hyperlink ref="B19" location="'Sanctions and AML Information'!A1" display="'Sanctions and AML Information'!A1" xr:uid="{4BAB12C8-BD2A-412C-AF43-56F09DC85C4F}"/>
    <hyperlink ref="B18" location="'Bank Accounts'!A1" display="Bank Accounts" xr:uid="{CE2DEC88-E266-4D5C-B0D5-D482BB417501}"/>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D4E00-AA7B-47D8-B0CE-E9B7B05D3E08}">
  <sheetPr codeName="Sheet2"/>
  <dimension ref="A1:O84"/>
  <sheetViews>
    <sheetView topLeftCell="A36" zoomScale="80" zoomScaleNormal="80" workbookViewId="0">
      <selection activeCell="B22" sqref="B22"/>
    </sheetView>
  </sheetViews>
  <sheetFormatPr defaultColWidth="9.140625" defaultRowHeight="15" x14ac:dyDescent="0.25"/>
  <cols>
    <col min="1" max="1" width="14.42578125" style="5" bestFit="1" customWidth="1"/>
    <col min="2" max="2" width="75.5703125" style="7" customWidth="1"/>
    <col min="3" max="3" width="69.140625" style="5" customWidth="1"/>
    <col min="4" max="4" width="5.5703125" style="5" customWidth="1"/>
    <col min="5" max="5" width="72.5703125" style="7" customWidth="1"/>
    <col min="6" max="6" width="7" style="5" customWidth="1"/>
    <col min="7" max="7" width="20.85546875" style="5" hidden="1" customWidth="1"/>
    <col min="8" max="8" width="11" style="5" hidden="1" customWidth="1"/>
    <col min="9" max="9" width="19.5703125" style="5" hidden="1" customWidth="1"/>
    <col min="10" max="10" width="9.140625" style="5" customWidth="1"/>
    <col min="11" max="18" width="9.140625" style="5"/>
    <col min="19" max="19" width="9" style="5" customWidth="1"/>
    <col min="20" max="16384" width="9.140625" style="5"/>
  </cols>
  <sheetData>
    <row r="1" spans="1:9" ht="42.95" customHeight="1" thickBot="1" x14ac:dyDescent="0.3">
      <c r="A1" s="10"/>
      <c r="B1" s="11"/>
      <c r="C1" s="10"/>
      <c r="D1" s="10"/>
      <c r="E1" s="11"/>
      <c r="F1" s="10"/>
    </row>
    <row r="2" spans="1:9" ht="44.45" customHeight="1" thickBot="1" x14ac:dyDescent="0.4">
      <c r="A2" s="190" t="s">
        <v>1280</v>
      </c>
      <c r="B2" s="191"/>
      <c r="C2" s="192"/>
      <c r="D2" s="44"/>
      <c r="E2" s="13" t="str">
        <f>CONCATENATE("Questionnaire version: ", G2)</f>
        <v>Questionnaire version: INC00005</v>
      </c>
      <c r="F2" s="10"/>
      <c r="G2" s="74" t="s">
        <v>1283</v>
      </c>
      <c r="I2" s="6" t="s">
        <v>938</v>
      </c>
    </row>
    <row r="3" spans="1:9" ht="14.1" customHeight="1" x14ac:dyDescent="0.25">
      <c r="A3" s="10"/>
      <c r="B3" s="11"/>
      <c r="C3" s="10"/>
      <c r="D3" s="10"/>
      <c r="E3" s="11"/>
      <c r="F3" s="10"/>
    </row>
    <row r="4" spans="1:9" ht="14.1" customHeight="1" thickBot="1" x14ac:dyDescent="0.3">
      <c r="A4" s="12" t="s">
        <v>8</v>
      </c>
      <c r="B4" s="13" t="s">
        <v>964</v>
      </c>
      <c r="C4" s="12" t="s">
        <v>0</v>
      </c>
      <c r="D4" s="12"/>
      <c r="E4" s="13" t="s">
        <v>573</v>
      </c>
      <c r="F4" s="12"/>
      <c r="G4" s="6" t="s">
        <v>549</v>
      </c>
      <c r="H4" s="6" t="s">
        <v>1242</v>
      </c>
      <c r="I4" s="6" t="s">
        <v>1</v>
      </c>
    </row>
    <row r="5" spans="1:9" ht="15.95" customHeight="1" x14ac:dyDescent="0.25">
      <c r="A5" s="196" t="s">
        <v>570</v>
      </c>
      <c r="B5" s="110" t="s">
        <v>2</v>
      </c>
      <c r="C5" s="97"/>
      <c r="D5" s="10"/>
      <c r="E5" s="46" t="s">
        <v>1021</v>
      </c>
      <c r="F5" s="10"/>
      <c r="G5" s="5" t="s">
        <v>613</v>
      </c>
      <c r="I5" s="5" t="s">
        <v>540</v>
      </c>
    </row>
    <row r="6" spans="1:9" ht="15.95" customHeight="1" x14ac:dyDescent="0.25">
      <c r="A6" s="197"/>
      <c r="B6" s="111" t="s">
        <v>953</v>
      </c>
      <c r="C6" s="98"/>
      <c r="D6" s="10"/>
      <c r="E6" s="47"/>
      <c r="F6" s="10"/>
      <c r="G6" s="5" t="s">
        <v>614</v>
      </c>
      <c r="I6" s="5" t="s">
        <v>540</v>
      </c>
    </row>
    <row r="7" spans="1:9" ht="15.95" customHeight="1" x14ac:dyDescent="0.25">
      <c r="A7" s="197"/>
      <c r="B7" s="111" t="s">
        <v>952</v>
      </c>
      <c r="C7" s="107"/>
      <c r="D7" s="10"/>
      <c r="E7" s="47"/>
      <c r="F7" s="10"/>
      <c r="G7" s="5" t="s">
        <v>615</v>
      </c>
      <c r="I7" s="5" t="s">
        <v>540</v>
      </c>
    </row>
    <row r="8" spans="1:9" ht="15.95" customHeight="1" x14ac:dyDescent="0.25">
      <c r="A8" s="197"/>
      <c r="B8" s="111" t="s">
        <v>951</v>
      </c>
      <c r="C8" s="99"/>
      <c r="D8" s="10"/>
      <c r="E8" s="47" t="s">
        <v>1020</v>
      </c>
      <c r="F8" s="10"/>
      <c r="G8" s="5" t="s">
        <v>616</v>
      </c>
      <c r="I8" s="5" t="s">
        <v>539</v>
      </c>
    </row>
    <row r="9" spans="1:9" ht="15.95" customHeight="1" thickBot="1" x14ac:dyDescent="0.3">
      <c r="A9" s="198"/>
      <c r="B9" s="112" t="s">
        <v>1023</v>
      </c>
      <c r="C9" s="118"/>
      <c r="D9" s="10"/>
      <c r="E9" s="117">
        <f ca="1">TODAY()</f>
        <v>45090</v>
      </c>
      <c r="F9" s="10"/>
      <c r="G9" s="5" t="s">
        <v>617</v>
      </c>
      <c r="I9" s="5" t="s">
        <v>541</v>
      </c>
    </row>
    <row r="10" spans="1:9" ht="15.95" customHeight="1" thickBot="1" x14ac:dyDescent="0.3">
      <c r="A10" s="10"/>
      <c r="B10" s="11"/>
      <c r="C10" s="10"/>
      <c r="D10" s="10"/>
      <c r="E10" s="45"/>
      <c r="F10" s="10"/>
    </row>
    <row r="11" spans="1:9" ht="15.95" customHeight="1" x14ac:dyDescent="0.25">
      <c r="A11" s="199" t="s">
        <v>4</v>
      </c>
      <c r="B11" s="110" t="s">
        <v>1157</v>
      </c>
      <c r="C11" s="100"/>
      <c r="D11" s="10"/>
      <c r="E11" s="205" t="str">
        <f>'Entity and Documents Def'!F7</f>
        <v/>
      </c>
      <c r="F11" s="10"/>
      <c r="G11" s="5" t="s">
        <v>618</v>
      </c>
      <c r="I11" s="5" t="s">
        <v>540</v>
      </c>
    </row>
    <row r="12" spans="1:9" ht="15.95" customHeight="1" x14ac:dyDescent="0.25">
      <c r="A12" s="200"/>
      <c r="B12" s="111" t="s">
        <v>1156</v>
      </c>
      <c r="C12" s="101"/>
      <c r="D12" s="10"/>
      <c r="E12" s="206"/>
      <c r="F12" s="10"/>
      <c r="G12" s="5" t="s">
        <v>619</v>
      </c>
      <c r="I12" s="5" t="s">
        <v>539</v>
      </c>
    </row>
    <row r="13" spans="1:9" ht="15.95" customHeight="1" x14ac:dyDescent="0.25">
      <c r="A13" s="200"/>
      <c r="B13" s="111" t="s">
        <v>965</v>
      </c>
      <c r="C13" s="101"/>
      <c r="D13" s="10"/>
      <c r="E13" s="206"/>
      <c r="F13" s="10"/>
      <c r="G13" s="5" t="s">
        <v>620</v>
      </c>
      <c r="I13" s="5" t="s">
        <v>540</v>
      </c>
    </row>
    <row r="14" spans="1:9" ht="15.95" customHeight="1" x14ac:dyDescent="0.25">
      <c r="A14" s="200"/>
      <c r="B14" s="111" t="s">
        <v>1024</v>
      </c>
      <c r="C14" s="119"/>
      <c r="D14" s="10"/>
      <c r="E14" s="206"/>
      <c r="F14" s="10"/>
      <c r="G14" s="5" t="s">
        <v>621</v>
      </c>
      <c r="I14" s="5" t="s">
        <v>541</v>
      </c>
    </row>
    <row r="15" spans="1:9" ht="15.95" customHeight="1" x14ac:dyDescent="0.25">
      <c r="A15" s="200"/>
      <c r="B15" s="111" t="s">
        <v>1014</v>
      </c>
      <c r="C15" s="101"/>
      <c r="D15" s="10"/>
      <c r="E15" s="206"/>
      <c r="F15" s="10"/>
      <c r="G15" s="5" t="s">
        <v>622</v>
      </c>
      <c r="I15" s="5" t="s">
        <v>5</v>
      </c>
    </row>
    <row r="16" spans="1:9" ht="15.95" customHeight="1" x14ac:dyDescent="0.25">
      <c r="A16" s="200"/>
      <c r="B16" s="111" t="s">
        <v>1027</v>
      </c>
      <c r="C16" s="101"/>
      <c r="D16" s="10"/>
      <c r="E16" s="206"/>
      <c r="F16" s="10"/>
      <c r="G16" s="5" t="s">
        <v>1030</v>
      </c>
      <c r="I16" s="5" t="s">
        <v>5</v>
      </c>
    </row>
    <row r="17" spans="1:15" ht="15.95" customHeight="1" x14ac:dyDescent="0.25">
      <c r="A17" s="200"/>
      <c r="B17" s="111" t="s">
        <v>623</v>
      </c>
      <c r="C17" s="101"/>
      <c r="D17" s="10"/>
      <c r="E17" s="206"/>
      <c r="F17" s="10"/>
      <c r="G17" s="5" t="s">
        <v>624</v>
      </c>
      <c r="I17" s="5" t="s">
        <v>542</v>
      </c>
    </row>
    <row r="18" spans="1:15" ht="15.95" customHeight="1" x14ac:dyDescent="0.25">
      <c r="A18" s="200"/>
      <c r="B18" s="111" t="s">
        <v>1107</v>
      </c>
      <c r="C18" s="101"/>
      <c r="D18" s="10"/>
      <c r="E18" s="206"/>
      <c r="F18" s="10"/>
      <c r="G18" s="5" t="s">
        <v>1110</v>
      </c>
      <c r="I18" s="5" t="s">
        <v>542</v>
      </c>
    </row>
    <row r="19" spans="1:15" ht="15.95" customHeight="1" x14ac:dyDescent="0.25">
      <c r="A19" s="200"/>
      <c r="B19" s="111" t="s">
        <v>1028</v>
      </c>
      <c r="C19" s="101"/>
      <c r="D19" s="10"/>
      <c r="E19" s="206"/>
      <c r="F19" s="10"/>
      <c r="G19" s="5" t="s">
        <v>1029</v>
      </c>
      <c r="I19" s="5" t="s">
        <v>5</v>
      </c>
    </row>
    <row r="20" spans="1:15" ht="15.95" customHeight="1" x14ac:dyDescent="0.25">
      <c r="A20" s="200"/>
      <c r="B20" s="111" t="s">
        <v>1108</v>
      </c>
      <c r="C20" s="101"/>
      <c r="D20" s="10"/>
      <c r="E20" s="206"/>
      <c r="F20" s="10"/>
      <c r="G20" s="5" t="s">
        <v>625</v>
      </c>
      <c r="I20" s="5" t="s">
        <v>542</v>
      </c>
    </row>
    <row r="21" spans="1:15" ht="15.95" customHeight="1" x14ac:dyDescent="0.25">
      <c r="A21" s="200"/>
      <c r="B21" s="111" t="s">
        <v>1109</v>
      </c>
      <c r="C21" s="101"/>
      <c r="D21" s="10"/>
      <c r="E21" s="206"/>
      <c r="F21" s="10"/>
      <c r="G21" s="5" t="s">
        <v>1111</v>
      </c>
      <c r="I21" s="5" t="s">
        <v>542</v>
      </c>
    </row>
    <row r="22" spans="1:15" ht="32.25" customHeight="1" x14ac:dyDescent="0.25">
      <c r="A22" s="200"/>
      <c r="B22" s="183" t="s">
        <v>1326</v>
      </c>
      <c r="C22" s="173"/>
      <c r="D22" s="10"/>
      <c r="E22" s="206"/>
      <c r="F22" s="10"/>
      <c r="G22" s="42" t="s">
        <v>551</v>
      </c>
      <c r="H22" s="42" t="e">
        <f>VLOOKUP(C22,FieldValidation!E12:I17,4,FALSE)</f>
        <v>#N/A</v>
      </c>
      <c r="I22" s="42" t="s">
        <v>542</v>
      </c>
    </row>
    <row r="23" spans="1:15" ht="15.95" customHeight="1" thickBot="1" x14ac:dyDescent="0.3">
      <c r="A23" s="201"/>
      <c r="B23" s="112" t="s">
        <v>1015</v>
      </c>
      <c r="C23" s="104"/>
      <c r="D23" s="10"/>
      <c r="E23" s="207"/>
      <c r="F23" s="10"/>
      <c r="G23" s="5" t="s">
        <v>626</v>
      </c>
      <c r="I23" s="5" t="s">
        <v>5</v>
      </c>
    </row>
    <row r="24" spans="1:15" ht="15.95" customHeight="1" thickBot="1" x14ac:dyDescent="0.3">
      <c r="A24" s="10"/>
      <c r="B24" s="11"/>
      <c r="C24" s="10"/>
      <c r="D24" s="10"/>
      <c r="E24" s="45"/>
      <c r="F24" s="10"/>
    </row>
    <row r="25" spans="1:15" s="17" customFormat="1" ht="32.25" customHeight="1" x14ac:dyDescent="0.25">
      <c r="A25" s="199" t="s">
        <v>1185</v>
      </c>
      <c r="B25" s="184" t="s">
        <v>1327</v>
      </c>
      <c r="C25" s="172"/>
      <c r="D25" s="10"/>
      <c r="E25" s="176" t="str">
        <f>IF(OR(ISBLANK(C22),ISBLANK(C25),ISBLANK(C26)),'Entity and Documents Def'!H8,"")</f>
        <v xml:space="preserve">Please select Legal Form, Account Type and  Business Model!
</v>
      </c>
      <c r="F25" s="49"/>
      <c r="G25" s="5" t="s">
        <v>1184</v>
      </c>
      <c r="H25" s="5" t="e">
        <f>VLOOKUP(C25,FieldValidation!E19:I32,4,FALSE)</f>
        <v>#N/A</v>
      </c>
      <c r="I25" s="5" t="s">
        <v>3</v>
      </c>
    </row>
    <row r="26" spans="1:15" s="17" customFormat="1" ht="32.25" customHeight="1" x14ac:dyDescent="0.25">
      <c r="A26" s="200"/>
      <c r="B26" s="183" t="s">
        <v>1325</v>
      </c>
      <c r="C26" s="154"/>
      <c r="D26" s="10"/>
      <c r="E26" s="174" t="str">
        <f>'Entity and Documents Def'!F5</f>
        <v xml:space="preserve"> </v>
      </c>
      <c r="F26" s="49"/>
      <c r="G26" t="s">
        <v>1186</v>
      </c>
      <c r="H26" s="5"/>
      <c r="I26" s="5" t="s">
        <v>542</v>
      </c>
    </row>
    <row r="27" spans="1:15" s="17" customFormat="1" ht="32.25" customHeight="1" x14ac:dyDescent="0.25">
      <c r="A27" s="200"/>
      <c r="B27" s="111" t="s">
        <v>6</v>
      </c>
      <c r="C27" s="154"/>
      <c r="D27" s="10"/>
      <c r="E27" s="47"/>
      <c r="F27" s="49"/>
      <c r="G27" s="5" t="s">
        <v>1135</v>
      </c>
      <c r="H27" s="5"/>
      <c r="I27" s="5" t="s">
        <v>5</v>
      </c>
    </row>
    <row r="28" spans="1:15" s="17" customFormat="1" ht="32.1" customHeight="1" thickBot="1" x14ac:dyDescent="0.3">
      <c r="A28" s="201"/>
      <c r="B28" s="112" t="s">
        <v>9</v>
      </c>
      <c r="C28" s="104"/>
      <c r="D28" s="49"/>
      <c r="E28" s="48"/>
      <c r="F28" s="49"/>
      <c r="G28" s="5" t="s">
        <v>1136</v>
      </c>
      <c r="H28" s="5"/>
      <c r="I28" s="5" t="s">
        <v>5</v>
      </c>
    </row>
    <row r="29" spans="1:15" ht="15.95" customHeight="1" thickBot="1" x14ac:dyDescent="0.3">
      <c r="A29" s="10"/>
      <c r="B29" s="11"/>
      <c r="C29" s="10"/>
      <c r="D29" s="10"/>
      <c r="E29" s="45"/>
      <c r="F29" s="10"/>
    </row>
    <row r="30" spans="1:15" ht="15.95" customHeight="1" x14ac:dyDescent="0.25">
      <c r="A30" s="199" t="s">
        <v>1245</v>
      </c>
      <c r="B30" s="110" t="s">
        <v>1001</v>
      </c>
      <c r="C30" s="102"/>
      <c r="D30" s="10"/>
      <c r="E30" s="46" t="s">
        <v>1148</v>
      </c>
      <c r="F30" s="10"/>
      <c r="G30" s="5" t="s">
        <v>627</v>
      </c>
      <c r="I30" s="5" t="s">
        <v>5</v>
      </c>
    </row>
    <row r="31" spans="1:15" ht="15.95" customHeight="1" x14ac:dyDescent="0.25">
      <c r="A31" s="200"/>
      <c r="B31" s="111" t="s">
        <v>966</v>
      </c>
      <c r="C31" s="103"/>
      <c r="D31" s="10"/>
      <c r="E31" s="47" t="s">
        <v>967</v>
      </c>
      <c r="F31" s="10"/>
      <c r="G31" s="5" t="s">
        <v>628</v>
      </c>
      <c r="I31" s="5" t="s">
        <v>5</v>
      </c>
    </row>
    <row r="32" spans="1:15" ht="15.95" customHeight="1" thickBot="1" x14ac:dyDescent="0.3">
      <c r="A32" s="201"/>
      <c r="B32" s="112" t="s">
        <v>9</v>
      </c>
      <c r="C32" s="104"/>
      <c r="D32" s="49"/>
      <c r="E32" s="48" t="s">
        <v>1003</v>
      </c>
      <c r="F32" s="49"/>
      <c r="G32" s="42" t="s">
        <v>1137</v>
      </c>
      <c r="H32" s="17"/>
      <c r="I32" s="43" t="s">
        <v>5</v>
      </c>
      <c r="J32" s="17"/>
      <c r="K32" s="17"/>
      <c r="L32" s="17"/>
      <c r="M32" s="17"/>
      <c r="N32" s="17"/>
      <c r="O32" s="17"/>
    </row>
    <row r="33" spans="1:9" ht="15.95" customHeight="1" thickBot="1" x14ac:dyDescent="0.3">
      <c r="A33" s="10"/>
      <c r="B33" s="11"/>
      <c r="C33" s="10"/>
      <c r="D33" s="10"/>
      <c r="E33" s="45"/>
      <c r="F33" s="10"/>
    </row>
    <row r="34" spans="1:9" ht="15.95" customHeight="1" x14ac:dyDescent="0.25">
      <c r="A34" s="199" t="s">
        <v>537</v>
      </c>
      <c r="B34" s="110" t="s">
        <v>996</v>
      </c>
      <c r="C34" s="102"/>
      <c r="D34" s="10"/>
      <c r="E34" s="46" t="s">
        <v>1002</v>
      </c>
      <c r="F34" s="10"/>
      <c r="G34" s="5" t="s">
        <v>1150</v>
      </c>
      <c r="I34" s="5" t="s">
        <v>542</v>
      </c>
    </row>
    <row r="35" spans="1:9" ht="15.95" customHeight="1" x14ac:dyDescent="0.25">
      <c r="A35" s="200"/>
      <c r="B35" s="111" t="s">
        <v>7</v>
      </c>
      <c r="C35" s="103"/>
      <c r="D35" s="10"/>
      <c r="E35" s="47" t="s">
        <v>974</v>
      </c>
      <c r="F35" s="10"/>
      <c r="G35" s="5" t="s">
        <v>629</v>
      </c>
      <c r="I35" s="5" t="s">
        <v>542</v>
      </c>
    </row>
    <row r="36" spans="1:9" ht="15.95" customHeight="1" x14ac:dyDescent="0.25">
      <c r="A36" s="200"/>
      <c r="B36" s="111" t="s">
        <v>948</v>
      </c>
      <c r="C36" s="101"/>
      <c r="D36" s="10"/>
      <c r="E36" s="47" t="s">
        <v>985</v>
      </c>
      <c r="F36" s="10"/>
      <c r="G36" t="s">
        <v>949</v>
      </c>
      <c r="I36" s="5" t="s">
        <v>542</v>
      </c>
    </row>
    <row r="37" spans="1:9" ht="15.95" customHeight="1" x14ac:dyDescent="0.25">
      <c r="A37" s="200"/>
      <c r="B37" s="111" t="s">
        <v>960</v>
      </c>
      <c r="C37" s="101"/>
      <c r="D37" s="10"/>
      <c r="E37" s="47" t="s">
        <v>1005</v>
      </c>
      <c r="F37" s="10"/>
      <c r="G37" t="s">
        <v>950</v>
      </c>
      <c r="I37" s="5" t="s">
        <v>542</v>
      </c>
    </row>
    <row r="38" spans="1:9" ht="15.95" customHeight="1" x14ac:dyDescent="0.25">
      <c r="A38" s="200"/>
      <c r="B38" s="111" t="s">
        <v>961</v>
      </c>
      <c r="C38" s="101"/>
      <c r="D38" s="10"/>
      <c r="E38" s="47" t="s">
        <v>1004</v>
      </c>
      <c r="F38" s="10"/>
      <c r="G38" t="s">
        <v>1013</v>
      </c>
      <c r="I38" s="5" t="s">
        <v>542</v>
      </c>
    </row>
    <row r="39" spans="1:9" ht="15.95" customHeight="1" x14ac:dyDescent="0.25">
      <c r="A39" s="200"/>
      <c r="B39" s="111" t="s">
        <v>691</v>
      </c>
      <c r="C39" s="101"/>
      <c r="D39" s="10"/>
      <c r="E39" s="47" t="s">
        <v>969</v>
      </c>
      <c r="F39" s="10"/>
      <c r="G39" t="s">
        <v>630</v>
      </c>
      <c r="I39" s="5" t="s">
        <v>5</v>
      </c>
    </row>
    <row r="40" spans="1:9" ht="15.95" customHeight="1" x14ac:dyDescent="0.25">
      <c r="A40" s="200"/>
      <c r="B40" s="111" t="s">
        <v>956</v>
      </c>
      <c r="C40" s="125"/>
      <c r="D40" s="10"/>
      <c r="E40" s="47" t="s">
        <v>1009</v>
      </c>
      <c r="F40" s="10"/>
      <c r="G40" t="s">
        <v>562</v>
      </c>
      <c r="I40" s="5" t="s">
        <v>542</v>
      </c>
    </row>
    <row r="41" spans="1:9" ht="15.95" customHeight="1" x14ac:dyDescent="0.25">
      <c r="A41" s="200"/>
      <c r="B41" s="111" t="s">
        <v>998</v>
      </c>
      <c r="C41" s="125"/>
      <c r="D41" s="10"/>
      <c r="E41" s="47" t="s">
        <v>1008</v>
      </c>
      <c r="F41" s="10"/>
      <c r="G41" t="s">
        <v>563</v>
      </c>
      <c r="I41" s="5" t="s">
        <v>542</v>
      </c>
    </row>
    <row r="42" spans="1:9" ht="15.95" customHeight="1" x14ac:dyDescent="0.25">
      <c r="A42" s="200"/>
      <c r="B42" s="111" t="s">
        <v>968</v>
      </c>
      <c r="C42" s="125"/>
      <c r="D42" s="10"/>
      <c r="E42" s="47" t="s">
        <v>970</v>
      </c>
      <c r="F42" s="10"/>
      <c r="G42" t="s">
        <v>564</v>
      </c>
      <c r="I42" s="5" t="s">
        <v>542</v>
      </c>
    </row>
    <row r="43" spans="1:9" ht="15.95" customHeight="1" x14ac:dyDescent="0.25">
      <c r="A43" s="200"/>
      <c r="B43" s="111" t="s">
        <v>999</v>
      </c>
      <c r="C43" s="101"/>
      <c r="D43" s="10"/>
      <c r="E43" s="47" t="s">
        <v>971</v>
      </c>
      <c r="F43" s="10"/>
      <c r="G43" t="s">
        <v>565</v>
      </c>
      <c r="I43" s="5" t="s">
        <v>542</v>
      </c>
    </row>
    <row r="44" spans="1:9" ht="15.95" customHeight="1" x14ac:dyDescent="0.25">
      <c r="A44" s="200"/>
      <c r="B44" s="111" t="s">
        <v>957</v>
      </c>
      <c r="C44" s="101"/>
      <c r="D44" s="10"/>
      <c r="E44" s="47" t="s">
        <v>1012</v>
      </c>
      <c r="F44" s="10"/>
      <c r="G44" t="s">
        <v>566</v>
      </c>
      <c r="I44" s="5" t="s">
        <v>542</v>
      </c>
    </row>
    <row r="45" spans="1:9" ht="15.95" customHeight="1" x14ac:dyDescent="0.25">
      <c r="A45" s="200"/>
      <c r="B45" s="111" t="s">
        <v>997</v>
      </c>
      <c r="C45" s="101"/>
      <c r="D45" s="10"/>
      <c r="E45" s="47" t="s">
        <v>1011</v>
      </c>
      <c r="F45" s="10"/>
      <c r="G45" t="s">
        <v>567</v>
      </c>
      <c r="I45" s="5" t="s">
        <v>542</v>
      </c>
    </row>
    <row r="46" spans="1:9" ht="15.95" customHeight="1" x14ac:dyDescent="0.25">
      <c r="A46" s="200"/>
      <c r="B46" s="111" t="s">
        <v>958</v>
      </c>
      <c r="C46" s="101"/>
      <c r="D46" s="10"/>
      <c r="E46" s="47" t="s">
        <v>972</v>
      </c>
      <c r="F46" s="10"/>
      <c r="G46" t="s">
        <v>568</v>
      </c>
      <c r="I46" s="5" t="s">
        <v>542</v>
      </c>
    </row>
    <row r="47" spans="1:9" ht="15.95" customHeight="1" x14ac:dyDescent="0.25">
      <c r="A47" s="200"/>
      <c r="B47" s="111" t="s">
        <v>1000</v>
      </c>
      <c r="C47" s="101"/>
      <c r="D47" s="10"/>
      <c r="E47" s="47" t="s">
        <v>973</v>
      </c>
      <c r="F47" s="10"/>
      <c r="G47" t="s">
        <v>569</v>
      </c>
      <c r="I47" s="5" t="s">
        <v>542</v>
      </c>
    </row>
    <row r="48" spans="1:9" s="17" customFormat="1" ht="32.1" customHeight="1" thickBot="1" x14ac:dyDescent="0.3">
      <c r="A48" s="201"/>
      <c r="B48" s="112" t="s">
        <v>631</v>
      </c>
      <c r="C48" s="126"/>
      <c r="D48" s="49"/>
      <c r="E48" s="48" t="s">
        <v>986</v>
      </c>
      <c r="F48" s="49"/>
      <c r="G48" s="43" t="s">
        <v>632</v>
      </c>
      <c r="H48" s="43"/>
      <c r="I48" s="43" t="s">
        <v>5</v>
      </c>
    </row>
    <row r="49" spans="1:6" x14ac:dyDescent="0.25">
      <c r="A49" s="10"/>
      <c r="B49" s="11"/>
      <c r="C49" s="10"/>
      <c r="D49" s="10"/>
      <c r="E49" s="11"/>
      <c r="F49" s="10"/>
    </row>
    <row r="50" spans="1:6" ht="15" customHeight="1" x14ac:dyDescent="0.25"/>
    <row r="52" spans="1:6" ht="15.75" thickBot="1" x14ac:dyDescent="0.3">
      <c r="A52" s="208" t="s">
        <v>1328</v>
      </c>
      <c r="B52" s="208"/>
      <c r="C52" s="208"/>
      <c r="D52" s="208"/>
      <c r="E52" s="208"/>
      <c r="F52" s="208"/>
    </row>
    <row r="53" spans="1:6" ht="17.100000000000001" customHeight="1" x14ac:dyDescent="0.25">
      <c r="A53" s="202"/>
      <c r="B53" s="203"/>
      <c r="C53" s="203"/>
      <c r="D53" s="203"/>
      <c r="E53" s="203"/>
      <c r="F53" s="204"/>
    </row>
    <row r="54" spans="1:6" ht="399.95" customHeight="1" x14ac:dyDescent="0.25">
      <c r="A54" s="209" t="e">
        <f>CONCATENATE(VLOOKUP('Entity and Documents Def'!D7,'Entity and Documents Def'!A12:I18,4,FALSE),'Entity and Documents Def'!F3,VLOOKUP('Entity and Documents Def'!D8,'Entity and Documents Def'!A23:I42,4,FALSE),'Entity and Documents Def'!F3,VLOOKUP('Entity and Documents Def'!D7,'Entity and Documents Def'!A12:I18,6,FALSE),'Entity and Documents Def'!F3,VLOOKUP('Entity and Documents Def'!D8,'Entity and Documents Def'!A23:I42,6,FALSE),'Entity and Documents Def'!F3,VLOOKUP('Entity and Documents Def'!D7,'Entity and Documents Def'!A12:I18,8,FALSE),'Entity and Documents Def'!F3,VLOOKUP('Entity and Documents Def'!D8,'Entity and Documents Def'!A23:I42,8,FALSE),'Entity and Documents Def'!F3)</f>
        <v>#N/A</v>
      </c>
      <c r="B54" s="210"/>
      <c r="C54" s="210"/>
      <c r="D54" s="210"/>
      <c r="E54" s="210"/>
      <c r="F54" s="211"/>
    </row>
    <row r="55" spans="1:6" ht="15.75" thickBot="1" x14ac:dyDescent="0.3">
      <c r="A55" s="145"/>
      <c r="B55" s="146"/>
      <c r="C55" s="146"/>
      <c r="D55" s="146"/>
      <c r="E55" s="146"/>
      <c r="F55" s="147"/>
    </row>
    <row r="58" spans="1:6" ht="15.75" thickBot="1" x14ac:dyDescent="0.3">
      <c r="A58" s="208" t="s">
        <v>1267</v>
      </c>
      <c r="B58" s="208"/>
      <c r="C58" s="208"/>
      <c r="D58" s="208"/>
      <c r="E58" s="208"/>
      <c r="F58" s="208"/>
    </row>
    <row r="59" spans="1:6" x14ac:dyDescent="0.25">
      <c r="A59" s="202"/>
      <c r="B59" s="203"/>
      <c r="C59" s="203"/>
      <c r="D59" s="203"/>
      <c r="E59" s="203"/>
      <c r="F59" s="204"/>
    </row>
    <row r="60" spans="1:6" ht="293.45" customHeight="1" x14ac:dyDescent="0.25">
      <c r="A60" s="209" t="e">
        <f>VLOOKUP('Entity and Documents Def'!D8,'Entity and Documents Def'!A23:I42,3,FALSE)</f>
        <v>#N/A</v>
      </c>
      <c r="B60" s="210"/>
      <c r="C60" s="210"/>
      <c r="D60" s="210"/>
      <c r="E60" s="210"/>
      <c r="F60" s="211"/>
    </row>
    <row r="61" spans="1:6" ht="15.75" thickBot="1" x14ac:dyDescent="0.3">
      <c r="A61" s="145"/>
      <c r="B61" s="146"/>
      <c r="C61" s="146"/>
      <c r="D61" s="146"/>
      <c r="E61" s="146"/>
      <c r="F61" s="147"/>
    </row>
    <row r="84" spans="2:2" x14ac:dyDescent="0.25">
      <c r="B84" s="4"/>
    </row>
  </sheetData>
  <sheetProtection algorithmName="SHA-512" hashValue="6p8/+sz68SzU2evtnpgxSjeGw5VIZtMc5FJNzY29x67oZvm6E00PmW9wQ/SIFcldkb8UI/z1RF4Hw+CWpbWCPA==" saltValue="dgnAqIJyce9GuuLwMbjHeg==" spinCount="100000" sheet="1" formatCells="0" formatColumns="0" formatRows="0" insertColumns="0" insertRows="0" insertHyperlinks="0" deleteColumns="0" deleteRows="0" sort="0" autoFilter="0" pivotTables="0"/>
  <mergeCells count="13">
    <mergeCell ref="A58:F58"/>
    <mergeCell ref="A59:F59"/>
    <mergeCell ref="A60:F60"/>
    <mergeCell ref="A54:F54"/>
    <mergeCell ref="A52:F52"/>
    <mergeCell ref="A2:C2"/>
    <mergeCell ref="A5:A9"/>
    <mergeCell ref="A25:A28"/>
    <mergeCell ref="A34:A48"/>
    <mergeCell ref="A53:F53"/>
    <mergeCell ref="A11:A23"/>
    <mergeCell ref="E11:E23"/>
    <mergeCell ref="A30:A32"/>
  </mergeCells>
  <conditionalFormatting sqref="C5:C7 C9 C36 C39:C47 C31 C11:C22">
    <cfRule type="containsBlanks" dxfId="69" priority="23">
      <formula>LEN(TRIM(C5))=0</formula>
    </cfRule>
  </conditionalFormatting>
  <conditionalFormatting sqref="C23">
    <cfRule type="containsBlanks" dxfId="68" priority="27">
      <formula>LEN(TRIM(C23))=0</formula>
    </cfRule>
  </conditionalFormatting>
  <conditionalFormatting sqref="C48">
    <cfRule type="expression" dxfId="67" priority="16" stopIfTrue="1">
      <formula>AND(OR(C36="Other",C37="Other",C38="Other"),C48="")</formula>
    </cfRule>
    <cfRule type="containsBlanks" dxfId="66" priority="32">
      <formula>LEN(TRIM(C48))=0</formula>
    </cfRule>
  </conditionalFormatting>
  <conditionalFormatting sqref="C37:C38">
    <cfRule type="containsBlanks" dxfId="65" priority="33">
      <formula>LEN(TRIM(C37))=0</formula>
    </cfRule>
  </conditionalFormatting>
  <conditionalFormatting sqref="C8">
    <cfRule type="containsBlanks" dxfId="64" priority="12">
      <formula>LEN(TRIM(C8))=0</formula>
    </cfRule>
  </conditionalFormatting>
  <conditionalFormatting sqref="C25 C27">
    <cfRule type="containsBlanks" dxfId="63" priority="10">
      <formula>LEN(TRIM(C25))=0</formula>
    </cfRule>
  </conditionalFormatting>
  <conditionalFormatting sqref="C28">
    <cfRule type="expression" dxfId="62" priority="8" stopIfTrue="1">
      <formula>AND(OR(C25="Other",#REF!="Other",#REF!="No"),C28="")</formula>
    </cfRule>
    <cfRule type="containsBlanks" dxfId="61" priority="9">
      <formula>LEN(TRIM(C28))=0</formula>
    </cfRule>
  </conditionalFormatting>
  <conditionalFormatting sqref="C32">
    <cfRule type="expression" dxfId="60" priority="41" stopIfTrue="1">
      <formula>AND(OR(#REF!="Other",#REF!="Other",#REF!="No"),C32="")</formula>
    </cfRule>
    <cfRule type="containsBlanks" dxfId="59" priority="42">
      <formula>LEN(TRIM(C32))=0</formula>
    </cfRule>
  </conditionalFormatting>
  <conditionalFormatting sqref="C34:C35">
    <cfRule type="containsBlanks" dxfId="58" priority="7">
      <formula>LEN(TRIM(C34))=0</formula>
    </cfRule>
  </conditionalFormatting>
  <conditionalFormatting sqref="C26">
    <cfRule type="containsBlanks" dxfId="57" priority="6">
      <formula>LEN(TRIM(C26))=0</formula>
    </cfRule>
  </conditionalFormatting>
  <conditionalFormatting sqref="C30">
    <cfRule type="containsBlanks" dxfId="56" priority="5">
      <formula>LEN(TRIM(C30))=0</formula>
    </cfRule>
  </conditionalFormatting>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xWindow="798" yWindow="676" count="18">
        <x14:dataValidation type="list" showInputMessage="1" showErrorMessage="1" xr:uid="{59CA845F-F90D-43E0-8210-0BA73C02C60A}">
          <x14:formula1>
            <xm:f>FieldValidation!$N$34:$N$53</xm:f>
          </x14:formula1>
          <xm:sqref>C26</xm:sqref>
        </x14:dataValidation>
        <x14:dataValidation type="list" allowBlank="1" showInputMessage="1" showErrorMessage="1" xr:uid="{14F34E3A-BA1C-46E7-8EC0-090495E6098A}">
          <x14:formula1>
            <xm:f>FieldValidation!$E$19:$E$32</xm:f>
          </x14:formula1>
          <xm:sqref>C25</xm:sqref>
        </x14:dataValidation>
        <x14:dataValidation type="list" allowBlank="1" showInputMessage="1" showErrorMessage="1" xr:uid="{19C180BE-14F9-4C4C-AFE6-A1F2C13F7D7A}">
          <x14:formula1>
            <xm:f>FieldValidation!$E$87:$E$89</xm:f>
          </x14:formula1>
          <xm:sqref>C34</xm:sqref>
        </x14:dataValidation>
        <x14:dataValidation type="list" allowBlank="1" showInputMessage="1" showErrorMessage="1" xr:uid="{8B1B4FA7-C547-4991-A678-E00428873557}">
          <x14:formula1>
            <xm:f>FieldValidation!$E$91:$E$108</xm:f>
          </x14:formula1>
          <xm:sqref>C36:C38</xm:sqref>
        </x14:dataValidation>
        <x14:dataValidation type="list" allowBlank="1" showInputMessage="1" showErrorMessage="1" xr:uid="{1F9B7029-A8E5-4C45-AD3F-68035FE1043D}">
          <x14:formula1>
            <xm:f>FieldValidation!$E$5:$E$6</xm:f>
          </x14:formula1>
          <xm:sqref>C35</xm:sqref>
        </x14:dataValidation>
        <x14:dataValidation type="list" allowBlank="1" showInputMessage="1" showErrorMessage="1" xr:uid="{3E856FFB-4844-41FE-AA7A-6FA156A13459}">
          <x14:formula1>
            <xm:f>FieldValidation!$E$110:$E$116</xm:f>
          </x14:formula1>
          <xm:sqref>C40</xm:sqref>
        </x14:dataValidation>
        <x14:dataValidation type="list" allowBlank="1" showInputMessage="1" showErrorMessage="1" xr:uid="{1CA3AE12-9190-4511-9385-1A6EE2FD2BB4}">
          <x14:formula1>
            <xm:f>FieldValidation!$E$118:$E$124</xm:f>
          </x14:formula1>
          <xm:sqref>C41</xm:sqref>
        </x14:dataValidation>
        <x14:dataValidation type="list" allowBlank="1" showInputMessage="1" showErrorMessage="1" xr:uid="{A2035B08-75B8-4B2C-A718-B11AA8028542}">
          <x14:formula1>
            <xm:f>FieldValidation!$E$126:$E$130</xm:f>
          </x14:formula1>
          <xm:sqref>C42</xm:sqref>
        </x14:dataValidation>
        <x14:dataValidation type="list" allowBlank="1" showInputMessage="1" showErrorMessage="1" xr:uid="{409DB5BD-B671-4ABE-91A3-658F046E48AC}">
          <x14:formula1>
            <xm:f>FieldValidation!$E$132:$E$136</xm:f>
          </x14:formula1>
          <xm:sqref>C43</xm:sqref>
        </x14:dataValidation>
        <x14:dataValidation type="list" allowBlank="1" showInputMessage="1" showErrorMessage="1" xr:uid="{F75CAAF2-01F2-44F2-90B2-56248660D64C}">
          <x14:formula1>
            <xm:f>FieldValidation!$E$138:$E$144</xm:f>
          </x14:formula1>
          <xm:sqref>C44</xm:sqref>
        </x14:dataValidation>
        <x14:dataValidation type="list" allowBlank="1" showInputMessage="1" showErrorMessage="1" xr:uid="{D5DDA5E8-9A6F-481D-A82D-B2758E4AF9BA}">
          <x14:formula1>
            <xm:f>FieldValidation!$E$146:$E$152</xm:f>
          </x14:formula1>
          <xm:sqref>C45</xm:sqref>
        </x14:dataValidation>
        <x14:dataValidation type="list" allowBlank="1" showInputMessage="1" showErrorMessage="1" xr:uid="{E14FD17B-C0CA-439F-B251-E59CBBFF17F9}">
          <x14:formula1>
            <xm:f>FieldValidation!$E$154:$E$158</xm:f>
          </x14:formula1>
          <xm:sqref>C46</xm:sqref>
        </x14:dataValidation>
        <x14:dataValidation type="list" allowBlank="1" showInputMessage="1" showErrorMessage="1" xr:uid="{F2C98C33-EA71-4247-B542-51EE187990B9}">
          <x14:formula1>
            <xm:f>FieldValidation!$E$160:$E$164</xm:f>
          </x14:formula1>
          <xm:sqref>C47</xm:sqref>
        </x14:dataValidation>
        <x14:dataValidation type="list" allowBlank="1" showInputMessage="1" showErrorMessage="1" xr:uid="{5B3B7E4B-996B-43AF-BFDD-117402711382}">
          <x14:formula1>
            <xm:f>'Country List'!$B$2:$B$249</xm:f>
          </x14:formula1>
          <xm:sqref>C17 C20</xm:sqref>
        </x14:dataValidation>
        <x14:dataValidation type="list" allowBlank="1" showInputMessage="1" showErrorMessage="1" xr:uid="{38CFBC73-2B79-44D5-BEF8-CBEAEB1E0219}">
          <x14:formula1>
            <xm:f>'US State List'!$B$2:$B$53</xm:f>
          </x14:formula1>
          <xm:sqref>C18 C21</xm:sqref>
        </x14:dataValidation>
        <x14:dataValidation type="list" allowBlank="1" showInputMessage="1" showErrorMessage="1" xr:uid="{D6B7096C-85AF-4B21-86C0-E3FCA9DF44D2}">
          <x14:formula1>
            <xm:f>FieldValidation!$E$12:$E$17</xm:f>
          </x14:formula1>
          <xm:sqref>C22</xm:sqref>
        </x14:dataValidation>
        <x14:dataValidation type="date" allowBlank="1" showInputMessage="1" showErrorMessage="1" errorTitle="Date validation error." error="Please enter a valid date between between current date - 3 months and the current date + 3 months!" promptTitle="Date" prompt="Please enter the date for which the data in this questionnaire are valid (typically current date)." xr:uid="{4A50B59C-7221-44B8-90B3-91EECBB4E680}">
          <x14:formula1>
            <xm:f>FieldValidation!E9</xm:f>
          </x14:formula1>
          <x14:formula2>
            <xm:f>FieldValidation!G9</xm:f>
          </x14:formula2>
          <xm:sqref>C9</xm:sqref>
        </x14:dataValidation>
        <x14:dataValidation type="date" operator="lessThan" allowBlank="1" showInputMessage="1" showErrorMessage="1" errorTitle="Date validation error." error="Please enter a valid date between January 1st 1900 and the current date!" promptTitle="Date." prompt="Please enter the date of incorporation." xr:uid="{2BE9601D-C0BA-45A3-9C73-50D0C4C6E26C}">
          <x14:formula1>
            <xm:f>FieldValidation!G10</xm:f>
          </x14:formula1>
          <xm:sqref>C14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10BA6-FD66-4529-9FDA-27917500E92A}">
  <sheetPr codeName="Sheet12"/>
  <dimension ref="A1:R23"/>
  <sheetViews>
    <sheetView zoomScale="85" zoomScaleNormal="85" workbookViewId="0">
      <selection activeCell="B6" sqref="B6:M6"/>
    </sheetView>
  </sheetViews>
  <sheetFormatPr defaultRowHeight="15" x14ac:dyDescent="0.25"/>
  <cols>
    <col min="1" max="1" width="5.140625" customWidth="1"/>
    <col min="2" max="2" width="20" customWidth="1"/>
    <col min="3" max="3" width="23.85546875" customWidth="1"/>
    <col min="4" max="4" width="21.85546875" customWidth="1"/>
    <col min="5" max="5" width="21.5703125" customWidth="1"/>
    <col min="6" max="6" width="22.85546875" customWidth="1"/>
    <col min="7" max="7" width="35.5703125" customWidth="1"/>
    <col min="8" max="8" width="13.140625" customWidth="1"/>
    <col min="9" max="9" width="35.5703125" customWidth="1"/>
    <col min="10" max="10" width="24.85546875" customWidth="1"/>
    <col min="11" max="12" width="21.85546875" customWidth="1"/>
    <col min="13" max="13" width="17.85546875" customWidth="1"/>
    <col min="15" max="15" width="8.85546875" customWidth="1"/>
    <col min="16" max="16" width="13.140625" hidden="1" customWidth="1"/>
    <col min="17" max="17" width="15.140625" hidden="1" customWidth="1"/>
    <col min="18" max="18" width="11.85546875" hidden="1" customWidth="1"/>
  </cols>
  <sheetData>
    <row r="1" spans="1:18" ht="47.45" customHeight="1" thickBot="1" x14ac:dyDescent="0.3">
      <c r="A1" s="10"/>
      <c r="B1" s="11"/>
      <c r="C1" s="10"/>
      <c r="D1" s="10"/>
      <c r="E1" s="11"/>
      <c r="F1" s="11"/>
      <c r="G1" s="11"/>
      <c r="H1" s="11"/>
      <c r="I1" s="11"/>
      <c r="J1" s="11"/>
      <c r="K1" s="11"/>
      <c r="L1" s="11"/>
      <c r="M1" s="11"/>
      <c r="N1" s="10"/>
    </row>
    <row r="2" spans="1:18" ht="51.95" customHeight="1" thickBot="1" x14ac:dyDescent="0.4">
      <c r="A2" s="190" t="e">
        <f>VLOOKUP('Entity and Documents Def'!D8,'Entity and Documents Def'!A23:I42,5,FALSE)</f>
        <v>#N/A</v>
      </c>
      <c r="B2" s="191"/>
      <c r="C2" s="191"/>
      <c r="D2" s="191"/>
      <c r="E2" s="191"/>
      <c r="F2" s="191"/>
      <c r="G2" s="191"/>
      <c r="H2" s="191"/>
      <c r="I2" s="191"/>
      <c r="J2" s="191"/>
      <c r="K2" s="191"/>
      <c r="L2" s="191"/>
      <c r="M2" s="192"/>
      <c r="N2" s="10"/>
    </row>
    <row r="3" spans="1:18" ht="20.45" customHeight="1" thickBot="1" x14ac:dyDescent="0.4">
      <c r="A3" s="130"/>
      <c r="B3" s="215"/>
      <c r="C3" s="215"/>
      <c r="D3" s="215"/>
      <c r="E3" s="215"/>
      <c r="F3" s="215"/>
      <c r="G3" s="215"/>
      <c r="H3" s="215"/>
      <c r="I3" s="215"/>
      <c r="J3" s="215"/>
      <c r="K3" s="215"/>
      <c r="L3" s="215"/>
      <c r="M3" s="215"/>
      <c r="N3" s="10"/>
    </row>
    <row r="4" spans="1:18" ht="21.6" customHeight="1" thickBot="1" x14ac:dyDescent="0.4">
      <c r="A4" s="44"/>
      <c r="B4" s="212" t="str">
        <f>('Entity and Documents Def'!D4)</f>
        <v/>
      </c>
      <c r="C4" s="213"/>
      <c r="D4" s="213"/>
      <c r="E4" s="213"/>
      <c r="F4" s="213"/>
      <c r="G4" s="213"/>
      <c r="H4" s="213"/>
      <c r="I4" s="213"/>
      <c r="J4" s="213"/>
      <c r="K4" s="213"/>
      <c r="L4" s="213"/>
      <c r="M4" s="214"/>
      <c r="N4" s="10"/>
    </row>
    <row r="5" spans="1:18" ht="21.75" thickBot="1" x14ac:dyDescent="0.4">
      <c r="A5" s="131"/>
      <c r="B5" s="44"/>
      <c r="C5" s="44"/>
      <c r="D5" s="44"/>
      <c r="E5" s="44"/>
      <c r="F5" s="44"/>
      <c r="G5" s="44"/>
      <c r="H5" s="44"/>
      <c r="I5" s="44"/>
      <c r="J5" s="44"/>
      <c r="K5" s="44"/>
      <c r="L5" s="44"/>
      <c r="M5" s="44"/>
      <c r="N5" s="10"/>
    </row>
    <row r="6" spans="1:18" ht="140.1" customHeight="1" thickBot="1" x14ac:dyDescent="0.3">
      <c r="A6" s="75"/>
      <c r="B6" s="216" t="e">
        <f>CONCATENATE('Entity and Documents Def'!H3,VLOOKUP('Entity and Documents Def'!D7,'Entity and Documents Def'!A12:I18,6,FALSE),'Entity and Documents Def'!F3,VLOOKUP('Entity and Documents Def'!D8,'Entity and Documents Def'!A23:I42,6,FALSE))</f>
        <v>#N/A</v>
      </c>
      <c r="C6" s="217"/>
      <c r="D6" s="217"/>
      <c r="E6" s="217"/>
      <c r="F6" s="217"/>
      <c r="G6" s="217"/>
      <c r="H6" s="217"/>
      <c r="I6" s="217"/>
      <c r="J6" s="217"/>
      <c r="K6" s="217"/>
      <c r="L6" s="217"/>
      <c r="M6" s="218"/>
      <c r="N6" s="10"/>
      <c r="P6" s="108" t="s">
        <v>955</v>
      </c>
      <c r="Q6" s="106">
        <f ca="1">TODAY()-120*365</f>
        <v>1290</v>
      </c>
      <c r="R6" s="106">
        <f ca="1">TODAY()</f>
        <v>45090</v>
      </c>
    </row>
    <row r="7" spans="1:18" ht="32.25" customHeight="1" thickBot="1" x14ac:dyDescent="0.4">
      <c r="A7" s="10"/>
      <c r="B7" s="22" t="s">
        <v>1138</v>
      </c>
      <c r="C7" s="10"/>
      <c r="D7" s="10"/>
      <c r="E7" s="10"/>
      <c r="F7" s="10"/>
      <c r="G7" s="10"/>
      <c r="H7" s="10"/>
      <c r="I7" s="10"/>
      <c r="J7" s="10"/>
      <c r="K7" s="10"/>
      <c r="L7" s="10"/>
      <c r="M7" s="10"/>
      <c r="N7" s="10"/>
    </row>
    <row r="8" spans="1:18" ht="45.95" customHeight="1" thickBot="1" x14ac:dyDescent="0.3">
      <c r="A8" s="19"/>
      <c r="B8" s="18" t="s">
        <v>1146</v>
      </c>
      <c r="C8" s="18" t="s">
        <v>581</v>
      </c>
      <c r="D8" s="18" t="s">
        <v>580</v>
      </c>
      <c r="E8" s="18" t="s">
        <v>1022</v>
      </c>
      <c r="F8" s="18" t="s">
        <v>579</v>
      </c>
      <c r="G8" s="18" t="s">
        <v>578</v>
      </c>
      <c r="H8" s="18" t="s">
        <v>577</v>
      </c>
      <c r="I8" s="18" t="s">
        <v>576</v>
      </c>
      <c r="J8" s="18" t="s">
        <v>587</v>
      </c>
      <c r="K8" s="18" t="s">
        <v>1112</v>
      </c>
      <c r="L8" s="18" t="s">
        <v>959</v>
      </c>
      <c r="M8" s="18" t="s">
        <v>1162</v>
      </c>
      <c r="N8" s="10"/>
      <c r="P8" s="106"/>
    </row>
    <row r="9" spans="1:18" ht="32.25" customHeight="1" x14ac:dyDescent="0.25">
      <c r="A9" s="20">
        <v>1</v>
      </c>
      <c r="B9" s="61"/>
      <c r="C9" s="60"/>
      <c r="D9" s="60"/>
      <c r="E9" s="120"/>
      <c r="F9" s="60"/>
      <c r="G9" s="60"/>
      <c r="H9" s="61"/>
      <c r="I9" s="60"/>
      <c r="J9" s="60"/>
      <c r="K9" s="60"/>
      <c r="L9" s="61"/>
      <c r="M9" s="61"/>
      <c r="N9" s="10"/>
      <c r="P9" s="106"/>
    </row>
    <row r="10" spans="1:18" ht="32.1" customHeight="1" x14ac:dyDescent="0.25">
      <c r="A10" s="21">
        <v>2</v>
      </c>
      <c r="B10" s="61"/>
      <c r="C10" s="60"/>
      <c r="D10" s="60"/>
      <c r="E10" s="120"/>
      <c r="F10" s="60"/>
      <c r="G10" s="60"/>
      <c r="H10" s="61"/>
      <c r="I10" s="60"/>
      <c r="J10" s="60"/>
      <c r="K10" s="60"/>
      <c r="L10" s="61"/>
      <c r="M10" s="61"/>
      <c r="N10" s="10"/>
      <c r="P10" s="106"/>
    </row>
    <row r="11" spans="1:18" ht="32.1" customHeight="1" x14ac:dyDescent="0.25">
      <c r="A11" s="21">
        <v>3</v>
      </c>
      <c r="B11" s="61"/>
      <c r="C11" s="60"/>
      <c r="D11" s="60"/>
      <c r="E11" s="120"/>
      <c r="F11" s="60"/>
      <c r="G11" s="60"/>
      <c r="H11" s="61"/>
      <c r="I11" s="60"/>
      <c r="J11" s="60"/>
      <c r="K11" s="60"/>
      <c r="L11" s="61"/>
      <c r="M11" s="61"/>
      <c r="N11" s="10"/>
    </row>
    <row r="12" spans="1:18" ht="32.1" customHeight="1" x14ac:dyDescent="0.25">
      <c r="A12" s="21">
        <v>4</v>
      </c>
      <c r="B12" s="61"/>
      <c r="C12" s="60"/>
      <c r="D12" s="60"/>
      <c r="E12" s="120"/>
      <c r="F12" s="60"/>
      <c r="G12" s="60"/>
      <c r="H12" s="61"/>
      <c r="I12" s="60"/>
      <c r="J12" s="60"/>
      <c r="K12" s="60"/>
      <c r="L12" s="61"/>
      <c r="M12" s="61"/>
      <c r="N12" s="10"/>
    </row>
    <row r="13" spans="1:18" ht="32.1" customHeight="1" x14ac:dyDescent="0.25">
      <c r="A13" s="20">
        <v>5</v>
      </c>
      <c r="B13" s="61"/>
      <c r="C13" s="60"/>
      <c r="D13" s="60"/>
      <c r="E13" s="120"/>
      <c r="F13" s="60"/>
      <c r="G13" s="60"/>
      <c r="H13" s="61"/>
      <c r="I13" s="60"/>
      <c r="J13" s="60"/>
      <c r="K13" s="60"/>
      <c r="L13" s="61"/>
      <c r="M13" s="61"/>
      <c r="N13" s="10"/>
    </row>
    <row r="14" spans="1:18" ht="32.1" customHeight="1" x14ac:dyDescent="0.25">
      <c r="A14" s="21">
        <v>6</v>
      </c>
      <c r="B14" s="61"/>
      <c r="C14" s="60"/>
      <c r="D14" s="60"/>
      <c r="E14" s="120"/>
      <c r="F14" s="60"/>
      <c r="G14" s="60"/>
      <c r="H14" s="61"/>
      <c r="I14" s="60"/>
      <c r="J14" s="60"/>
      <c r="K14" s="60"/>
      <c r="L14" s="61"/>
      <c r="M14" s="61"/>
      <c r="N14" s="10"/>
    </row>
    <row r="15" spans="1:18" ht="32.1" customHeight="1" x14ac:dyDescent="0.25">
      <c r="A15" s="21">
        <v>7</v>
      </c>
      <c r="B15" s="61"/>
      <c r="C15" s="60"/>
      <c r="D15" s="60"/>
      <c r="E15" s="120"/>
      <c r="F15" s="60"/>
      <c r="G15" s="60"/>
      <c r="H15" s="61"/>
      <c r="I15" s="60"/>
      <c r="J15" s="60"/>
      <c r="K15" s="60"/>
      <c r="L15" s="61"/>
      <c r="M15" s="61"/>
      <c r="N15" s="10"/>
    </row>
    <row r="16" spans="1:18" ht="32.1" customHeight="1" x14ac:dyDescent="0.25">
      <c r="A16" s="21">
        <v>8</v>
      </c>
      <c r="B16" s="61"/>
      <c r="C16" s="60"/>
      <c r="D16" s="60"/>
      <c r="E16" s="120"/>
      <c r="F16" s="60"/>
      <c r="G16" s="60"/>
      <c r="H16" s="61"/>
      <c r="I16" s="60"/>
      <c r="J16" s="60"/>
      <c r="K16" s="60"/>
      <c r="L16" s="61"/>
      <c r="M16" s="61"/>
      <c r="N16" s="10"/>
    </row>
    <row r="17" spans="1:14" ht="32.1" customHeight="1" x14ac:dyDescent="0.25">
      <c r="A17" s="20">
        <v>9</v>
      </c>
      <c r="B17" s="61"/>
      <c r="C17" s="60"/>
      <c r="D17" s="60"/>
      <c r="E17" s="120"/>
      <c r="F17" s="60"/>
      <c r="G17" s="60"/>
      <c r="H17" s="61"/>
      <c r="I17" s="60"/>
      <c r="J17" s="60"/>
      <c r="K17" s="60"/>
      <c r="L17" s="61"/>
      <c r="M17" s="61"/>
      <c r="N17" s="10"/>
    </row>
    <row r="18" spans="1:14" ht="32.1" customHeight="1" x14ac:dyDescent="0.25">
      <c r="A18" s="21">
        <v>10</v>
      </c>
      <c r="B18" s="61"/>
      <c r="C18" s="60"/>
      <c r="D18" s="60"/>
      <c r="E18" s="120"/>
      <c r="F18" s="60"/>
      <c r="G18" s="60"/>
      <c r="H18" s="61"/>
      <c r="I18" s="60"/>
      <c r="J18" s="60"/>
      <c r="K18" s="60"/>
      <c r="L18" s="61"/>
      <c r="M18" s="61"/>
      <c r="N18" s="10"/>
    </row>
    <row r="19" spans="1:14" x14ac:dyDescent="0.25">
      <c r="A19" s="10"/>
      <c r="B19" s="11"/>
      <c r="C19" s="11"/>
      <c r="D19" s="11"/>
      <c r="E19" s="10"/>
      <c r="F19" s="10"/>
      <c r="G19" s="10"/>
      <c r="H19" s="10"/>
      <c r="I19" s="10"/>
      <c r="J19" s="10"/>
      <c r="K19" s="10"/>
      <c r="L19" s="10"/>
      <c r="M19" s="10"/>
      <c r="N19" s="10"/>
    </row>
    <row r="20" spans="1:14" x14ac:dyDescent="0.25">
      <c r="A20" s="10"/>
      <c r="B20" s="11"/>
      <c r="C20" s="11"/>
      <c r="D20" s="11"/>
      <c r="E20" s="10"/>
      <c r="F20" s="10"/>
      <c r="G20" s="10"/>
      <c r="H20" s="10"/>
      <c r="I20" s="10"/>
      <c r="J20" s="10"/>
      <c r="K20" s="10"/>
      <c r="L20" s="10"/>
      <c r="M20" s="10"/>
      <c r="N20" s="10"/>
    </row>
    <row r="21" spans="1:14" x14ac:dyDescent="0.25">
      <c r="A21" s="10"/>
      <c r="B21" s="11"/>
      <c r="C21" s="11"/>
      <c r="D21" s="11"/>
      <c r="E21" s="10"/>
      <c r="F21" s="10"/>
      <c r="G21" s="10"/>
      <c r="H21" s="10"/>
      <c r="I21" s="10"/>
      <c r="J21" s="10"/>
      <c r="K21" s="10"/>
      <c r="L21" s="10"/>
      <c r="M21" s="10"/>
      <c r="N21" s="10"/>
    </row>
    <row r="22" spans="1:14" x14ac:dyDescent="0.25">
      <c r="A22" s="10"/>
      <c r="B22" s="11"/>
      <c r="C22" s="11"/>
      <c r="D22" s="11"/>
      <c r="E22" s="10"/>
      <c r="F22" s="10"/>
      <c r="G22" s="10"/>
      <c r="H22" s="10"/>
      <c r="I22" s="10"/>
      <c r="J22" s="10"/>
      <c r="K22" s="10"/>
      <c r="L22" s="10"/>
      <c r="M22" s="10"/>
      <c r="N22" s="10"/>
    </row>
    <row r="23" spans="1:14" x14ac:dyDescent="0.25">
      <c r="A23" s="10"/>
      <c r="B23" s="11"/>
      <c r="C23" s="11"/>
      <c r="D23" s="11"/>
      <c r="E23" s="10"/>
      <c r="F23" s="10"/>
      <c r="G23" s="10"/>
      <c r="H23" s="10"/>
      <c r="I23" s="10"/>
      <c r="J23" s="10"/>
      <c r="K23" s="10"/>
      <c r="L23" s="10"/>
      <c r="M23" s="10"/>
      <c r="N23" s="10"/>
    </row>
  </sheetData>
  <sheetProtection algorithmName="SHA-512" hashValue="u6YBJlXwREoEEXQIUzw1lR9gtTYKetYoPt+3hfYMXWHp8gyT4CmMtZ0IOGd0hqdWfUmzhly76W7/mpyM+3r9tw==" saltValue="FVHMLcGi3G44lLWTcPw/hw==" spinCount="100000" sheet="1" formatCells="0" formatColumns="0" formatRows="0" insertColumns="0" insertRows="0" insertHyperlinks="0" deleteColumns="0" deleteRows="0" sort="0" autoFilter="0" pivotTables="0"/>
  <mergeCells count="4">
    <mergeCell ref="B4:M4"/>
    <mergeCell ref="B3:M3"/>
    <mergeCell ref="B6:M6"/>
    <mergeCell ref="A2:M2"/>
  </mergeCells>
  <conditionalFormatting sqref="C9:K18">
    <cfRule type="containsBlanks" dxfId="55" priority="12">
      <formula>LEN(TRIM(C9))=0</formula>
    </cfRule>
  </conditionalFormatting>
  <conditionalFormatting sqref="L9:L18">
    <cfRule type="containsBlanks" dxfId="54" priority="5">
      <formula>LEN(TRIM(L9))=0</formula>
    </cfRule>
  </conditionalFormatting>
  <conditionalFormatting sqref="M9:M18">
    <cfRule type="containsBlanks" dxfId="53" priority="4">
      <formula>LEN(TRIM(M9))=0</formula>
    </cfRule>
  </conditionalFormatting>
  <conditionalFormatting sqref="B9">
    <cfRule type="containsBlanks" dxfId="52" priority="3">
      <formula>LEN(TRIM(B9))=0</formula>
    </cfRule>
  </conditionalFormatting>
  <conditionalFormatting sqref="B10:B18">
    <cfRule type="containsBlanks" dxfId="51" priority="2">
      <formula>LEN(TRIM(B10))=0</formula>
    </cfRule>
  </conditionalFormatting>
  <dataValidations count="1">
    <dataValidation type="date" allowBlank="1" showInputMessage="1" showErrorMessage="1" errorTitle="Date validation error." error="Please enter a valid birth date!" promptTitle="Birth date" prompt="Please enter the representative's birth date!" sqref="E9:E18" xr:uid="{37A71D1F-B798-468B-A2C2-932C19105853}">
      <formula1>$Q$6</formula1>
      <formula2>$R$6</formula2>
    </dataValidation>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57F782BA-D444-4D56-B4D3-B7EFCEF0FE56}">
          <x14:formula1>
            <xm:f>'US State List'!$B$2:$B$53</xm:f>
          </x14:formula1>
          <xm:sqref>K9:K18</xm:sqref>
        </x14:dataValidation>
        <x14:dataValidation type="list" allowBlank="1" showInputMessage="1" showErrorMessage="1" xr:uid="{7BE8124A-40BC-4C76-A6B8-23F6FC335A82}">
          <x14:formula1>
            <xm:f>'Country List'!$B$2:$B$249</xm:f>
          </x14:formula1>
          <xm:sqref>J9:J18</xm:sqref>
        </x14:dataValidation>
        <x14:dataValidation type="list" allowBlank="1" showInputMessage="1" showErrorMessage="1" xr:uid="{64D3B5E6-2982-4792-B9F9-C17953FB75E1}">
          <x14:formula1>
            <xm:f>'Nationality List'!$B$2:$B$198</xm:f>
          </x14:formula1>
          <xm:sqref>F9:F18</xm:sqref>
        </x14:dataValidation>
        <x14:dataValidation type="list" allowBlank="1" showInputMessage="1" showErrorMessage="1" xr:uid="{5D11D295-29C4-428B-853A-138242DE748A}">
          <x14:formula1>
            <xm:f>FieldValidation!$E$5:$E$6</xm:f>
          </x14:formula1>
          <xm:sqref>M9:M18</xm:sqref>
        </x14:dataValidation>
        <x14:dataValidation type="list" allowBlank="1" showInputMessage="1" showErrorMessage="1" xr:uid="{822CDBD9-C48D-4C00-8B3F-420BDC2872D0}">
          <x14:formula1>
            <xm:f>FieldValidation!$E$178:$E$180</xm:f>
          </x14:formula1>
          <xm:sqref>B9:B18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F4A8B-EB8F-44FB-9675-E011AC87D7BE}">
  <sheetPr codeName="Sheet13"/>
  <dimension ref="A1:S22"/>
  <sheetViews>
    <sheetView topLeftCell="A4" zoomScaleNormal="100" workbookViewId="0">
      <selection activeCell="B9" sqref="B9"/>
    </sheetView>
  </sheetViews>
  <sheetFormatPr defaultRowHeight="15" x14ac:dyDescent="0.25"/>
  <cols>
    <col min="1" max="1" width="5.140625" customWidth="1"/>
    <col min="2" max="2" width="20" customWidth="1"/>
    <col min="3" max="3" width="23.85546875" customWidth="1"/>
    <col min="4" max="4" width="21.85546875" customWidth="1"/>
    <col min="5" max="5" width="21.5703125" customWidth="1"/>
    <col min="6" max="6" width="22.85546875" customWidth="1"/>
    <col min="7" max="7" width="21.85546875" customWidth="1"/>
    <col min="8" max="8" width="29.85546875" customWidth="1"/>
    <col min="9" max="9" width="12.85546875" customWidth="1"/>
    <col min="10" max="10" width="19.42578125" customWidth="1"/>
    <col min="11" max="12" width="21.85546875" customWidth="1"/>
    <col min="13" max="13" width="17.85546875" customWidth="1"/>
    <col min="15" max="15" width="8.85546875" customWidth="1"/>
    <col min="16" max="16" width="13.140625" hidden="1" customWidth="1"/>
    <col min="17" max="17" width="15.140625" hidden="1" customWidth="1"/>
    <col min="18" max="18" width="11.85546875" hidden="1" customWidth="1"/>
  </cols>
  <sheetData>
    <row r="1" spans="1:19" ht="47.45" customHeight="1" thickBot="1" x14ac:dyDescent="0.3">
      <c r="A1" s="10"/>
      <c r="B1" s="11"/>
      <c r="C1" s="10"/>
      <c r="D1" s="10"/>
      <c r="E1" s="11"/>
      <c r="F1" s="11"/>
      <c r="G1" s="11"/>
      <c r="H1" s="11"/>
      <c r="I1" s="11"/>
      <c r="J1" s="11"/>
      <c r="K1" s="11"/>
      <c r="L1" s="11"/>
      <c r="M1" s="11"/>
      <c r="N1" s="10"/>
    </row>
    <row r="2" spans="1:19" ht="51.95" customHeight="1" thickBot="1" x14ac:dyDescent="0.4">
      <c r="A2" s="190" t="e">
        <f>VLOOKUP('Entity and Documents Def'!D8,'Entity and Documents Def'!A23:I42,7,FALSE)</f>
        <v>#N/A</v>
      </c>
      <c r="B2" s="191"/>
      <c r="C2" s="191"/>
      <c r="D2" s="191"/>
      <c r="E2" s="191"/>
      <c r="F2" s="191"/>
      <c r="G2" s="191"/>
      <c r="H2" s="191"/>
      <c r="I2" s="191"/>
      <c r="J2" s="191"/>
      <c r="K2" s="191"/>
      <c r="L2" s="191"/>
      <c r="M2" s="192"/>
      <c r="N2" s="10"/>
    </row>
    <row r="3" spans="1:19" ht="21.6" customHeight="1" thickBot="1" x14ac:dyDescent="0.4">
      <c r="A3" s="130"/>
      <c r="B3" s="40"/>
      <c r="C3" s="40"/>
      <c r="D3" s="40"/>
      <c r="E3" s="40"/>
      <c r="F3" s="40"/>
      <c r="G3" s="40"/>
      <c r="H3" s="40"/>
      <c r="I3" s="40"/>
      <c r="J3" s="40"/>
      <c r="K3" s="40"/>
      <c r="L3" s="40"/>
      <c r="M3" s="41"/>
      <c r="N3" s="10"/>
    </row>
    <row r="4" spans="1:19" ht="21.6" customHeight="1" thickBot="1" x14ac:dyDescent="0.4">
      <c r="A4" s="132"/>
      <c r="B4" s="212" t="str">
        <f>('Entity and Documents Def'!D4)</f>
        <v/>
      </c>
      <c r="C4" s="213"/>
      <c r="D4" s="213"/>
      <c r="E4" s="213"/>
      <c r="F4" s="213"/>
      <c r="G4" s="213"/>
      <c r="H4" s="213"/>
      <c r="I4" s="213"/>
      <c r="J4" s="213"/>
      <c r="K4" s="213"/>
      <c r="L4" s="213"/>
      <c r="M4" s="214"/>
      <c r="N4" s="10"/>
      <c r="P4" s="108" t="s">
        <v>955</v>
      </c>
      <c r="Q4" s="106">
        <f ca="1">TODAY()-120*365</f>
        <v>1290</v>
      </c>
      <c r="R4" s="106">
        <f ca="1">TODAY()</f>
        <v>45090</v>
      </c>
    </row>
    <row r="5" spans="1:19" ht="21.6" customHeight="1" thickBot="1" x14ac:dyDescent="0.4">
      <c r="A5" s="131"/>
      <c r="B5" s="215"/>
      <c r="C5" s="215"/>
      <c r="D5" s="215"/>
      <c r="E5" s="215"/>
      <c r="F5" s="215"/>
      <c r="G5" s="215"/>
      <c r="H5" s="215"/>
      <c r="I5" s="215"/>
      <c r="J5" s="215"/>
      <c r="K5" s="215"/>
      <c r="L5" s="215"/>
      <c r="M5" s="215"/>
      <c r="N5" s="10"/>
      <c r="P5" s="6" t="s">
        <v>549</v>
      </c>
    </row>
    <row r="6" spans="1:19" s="150" customFormat="1" ht="120.75" customHeight="1" thickBot="1" x14ac:dyDescent="0.3">
      <c r="A6" s="148"/>
      <c r="B6" s="216" t="e">
        <f>CONCATENATE('Entity and Documents Def'!H3,VLOOKUP('Entity and Documents Def'!D7,'Entity and Documents Def'!A12:I18,8,FALSE),'Entity and Documents Def'!F3,VLOOKUP('Entity and Documents Def'!D8,'Entity and Documents Def'!A23:I42,8,FALSE))</f>
        <v>#N/A</v>
      </c>
      <c r="C6" s="217"/>
      <c r="D6" s="217"/>
      <c r="E6" s="217"/>
      <c r="F6" s="217"/>
      <c r="G6" s="217"/>
      <c r="H6" s="217"/>
      <c r="I6" s="217"/>
      <c r="J6" s="217"/>
      <c r="K6" s="217"/>
      <c r="L6" s="217"/>
      <c r="M6" s="218"/>
      <c r="N6" s="149"/>
      <c r="O6" s="187"/>
      <c r="P6" s="187" t="s">
        <v>941</v>
      </c>
      <c r="Q6" s="187"/>
      <c r="R6" s="187"/>
      <c r="S6" s="187"/>
    </row>
    <row r="7" spans="1:19" ht="102.75" customHeight="1" thickBot="1" x14ac:dyDescent="0.4">
      <c r="A7" s="131"/>
      <c r="B7" s="186" t="s">
        <v>1301</v>
      </c>
      <c r="C7" s="219" t="s">
        <v>1302</v>
      </c>
      <c r="D7" s="219"/>
      <c r="E7" s="219"/>
      <c r="F7" s="219"/>
      <c r="G7" s="219"/>
      <c r="H7" s="219"/>
      <c r="I7" s="219"/>
      <c r="J7" s="219"/>
      <c r="K7" s="219"/>
      <c r="L7" s="219"/>
      <c r="M7" s="219"/>
      <c r="N7" s="149"/>
      <c r="O7" s="187"/>
      <c r="P7" s="187"/>
      <c r="Q7" s="187"/>
      <c r="R7" s="187"/>
      <c r="S7" s="187"/>
    </row>
    <row r="8" spans="1:19" ht="45.95" customHeight="1" thickBot="1" x14ac:dyDescent="0.3">
      <c r="A8" s="19"/>
      <c r="B8" s="18" t="s">
        <v>1323</v>
      </c>
      <c r="C8" s="18" t="s">
        <v>1324</v>
      </c>
      <c r="D8" s="18" t="s">
        <v>581</v>
      </c>
      <c r="E8" s="18" t="s">
        <v>580</v>
      </c>
      <c r="F8" s="18" t="s">
        <v>1022</v>
      </c>
      <c r="G8" s="18" t="s">
        <v>579</v>
      </c>
      <c r="H8" s="18" t="s">
        <v>578</v>
      </c>
      <c r="I8" s="18" t="s">
        <v>577</v>
      </c>
      <c r="J8" s="18" t="s">
        <v>576</v>
      </c>
      <c r="K8" s="18" t="s">
        <v>587</v>
      </c>
      <c r="L8" s="18" t="s">
        <v>1112</v>
      </c>
      <c r="M8" s="18" t="s">
        <v>959</v>
      </c>
      <c r="N8" s="10"/>
      <c r="O8" s="187"/>
      <c r="P8" s="187"/>
      <c r="Q8" s="187"/>
      <c r="R8" s="187"/>
      <c r="S8" s="187"/>
    </row>
    <row r="9" spans="1:19" ht="32.25" customHeight="1" x14ac:dyDescent="0.25">
      <c r="A9" s="20">
        <v>1</v>
      </c>
      <c r="B9" s="61"/>
      <c r="C9" s="60"/>
      <c r="D9" s="60"/>
      <c r="E9" s="60"/>
      <c r="F9" s="120"/>
      <c r="G9" s="60"/>
      <c r="H9" s="60"/>
      <c r="I9" s="61"/>
      <c r="J9" s="60"/>
      <c r="K9" s="60"/>
      <c r="L9" s="60"/>
      <c r="M9" s="61"/>
      <c r="N9" s="10"/>
      <c r="O9" s="187"/>
      <c r="P9" s="187"/>
      <c r="Q9" s="187"/>
      <c r="R9" s="187"/>
      <c r="S9" s="187"/>
    </row>
    <row r="10" spans="1:19" ht="32.1" customHeight="1" x14ac:dyDescent="0.25">
      <c r="A10" s="21">
        <v>2</v>
      </c>
      <c r="B10" s="61"/>
      <c r="C10" s="60"/>
      <c r="D10" s="60"/>
      <c r="E10" s="60"/>
      <c r="F10" s="120"/>
      <c r="G10" s="60"/>
      <c r="H10" s="60"/>
      <c r="I10" s="61"/>
      <c r="J10" s="60"/>
      <c r="K10" s="60"/>
      <c r="L10" s="60"/>
      <c r="M10" s="61"/>
      <c r="N10" s="10"/>
      <c r="O10" s="187"/>
      <c r="P10" s="187"/>
      <c r="Q10" s="187"/>
      <c r="R10" s="187"/>
      <c r="S10" s="187"/>
    </row>
    <row r="11" spans="1:19" ht="32.1" customHeight="1" x14ac:dyDescent="0.25">
      <c r="A11" s="21">
        <v>3</v>
      </c>
      <c r="B11" s="61"/>
      <c r="C11" s="60"/>
      <c r="D11" s="60"/>
      <c r="E11" s="60"/>
      <c r="F11" s="120"/>
      <c r="G11" s="60"/>
      <c r="H11" s="60"/>
      <c r="I11" s="61"/>
      <c r="J11" s="60"/>
      <c r="K11" s="60"/>
      <c r="L11" s="60"/>
      <c r="M11" s="61"/>
      <c r="N11" s="10"/>
    </row>
    <row r="12" spans="1:19" ht="32.1" customHeight="1" x14ac:dyDescent="0.25">
      <c r="A12" s="21">
        <v>4</v>
      </c>
      <c r="B12" s="61"/>
      <c r="C12" s="60"/>
      <c r="D12" s="60"/>
      <c r="E12" s="60"/>
      <c r="F12" s="120"/>
      <c r="G12" s="60"/>
      <c r="H12" s="60"/>
      <c r="I12" s="61"/>
      <c r="J12" s="60"/>
      <c r="K12" s="60"/>
      <c r="L12" s="60"/>
      <c r="M12" s="61"/>
      <c r="N12" s="10"/>
    </row>
    <row r="13" spans="1:19" ht="32.1" customHeight="1" x14ac:dyDescent="0.25">
      <c r="A13" s="20">
        <v>5</v>
      </c>
      <c r="B13" s="61"/>
      <c r="C13" s="60"/>
      <c r="D13" s="60"/>
      <c r="E13" s="60"/>
      <c r="F13" s="120"/>
      <c r="G13" s="60"/>
      <c r="H13" s="60"/>
      <c r="I13" s="61"/>
      <c r="J13" s="60"/>
      <c r="K13" s="60"/>
      <c r="L13" s="60"/>
      <c r="M13" s="61"/>
      <c r="N13" s="10"/>
    </row>
    <row r="14" spans="1:19" ht="32.1" customHeight="1" x14ac:dyDescent="0.25">
      <c r="A14" s="21">
        <v>6</v>
      </c>
      <c r="B14" s="61"/>
      <c r="C14" s="60"/>
      <c r="D14" s="60"/>
      <c r="E14" s="60"/>
      <c r="F14" s="120"/>
      <c r="G14" s="60"/>
      <c r="H14" s="60"/>
      <c r="I14" s="61"/>
      <c r="J14" s="60"/>
      <c r="K14" s="60"/>
      <c r="L14" s="60"/>
      <c r="M14" s="61"/>
      <c r="N14" s="10"/>
    </row>
    <row r="15" spans="1:19" ht="32.1" customHeight="1" x14ac:dyDescent="0.25">
      <c r="A15" s="21">
        <v>7</v>
      </c>
      <c r="B15" s="61"/>
      <c r="C15" s="60"/>
      <c r="D15" s="60"/>
      <c r="E15" s="60"/>
      <c r="F15" s="120"/>
      <c r="G15" s="60"/>
      <c r="H15" s="60"/>
      <c r="I15" s="61"/>
      <c r="J15" s="60"/>
      <c r="K15" s="60"/>
      <c r="L15" s="60"/>
      <c r="M15" s="61"/>
      <c r="N15" s="10"/>
    </row>
    <row r="16" spans="1:19" ht="32.1" customHeight="1" x14ac:dyDescent="0.25">
      <c r="A16" s="21">
        <v>8</v>
      </c>
      <c r="B16" s="61"/>
      <c r="C16" s="60"/>
      <c r="D16" s="60"/>
      <c r="E16" s="60"/>
      <c r="F16" s="120"/>
      <c r="G16" s="60"/>
      <c r="H16" s="60"/>
      <c r="I16" s="61"/>
      <c r="J16" s="60"/>
      <c r="K16" s="60"/>
      <c r="L16" s="60"/>
      <c r="M16" s="61"/>
      <c r="N16" s="10"/>
    </row>
    <row r="17" spans="1:14" ht="32.1" customHeight="1" x14ac:dyDescent="0.25">
      <c r="A17" s="20">
        <v>9</v>
      </c>
      <c r="B17" s="61"/>
      <c r="C17" s="60"/>
      <c r="D17" s="60"/>
      <c r="E17" s="60"/>
      <c r="F17" s="120"/>
      <c r="G17" s="60"/>
      <c r="H17" s="60"/>
      <c r="I17" s="61"/>
      <c r="J17" s="60"/>
      <c r="K17" s="60"/>
      <c r="L17" s="60"/>
      <c r="M17" s="61"/>
      <c r="N17" s="10"/>
    </row>
    <row r="18" spans="1:14" ht="32.1" customHeight="1" x14ac:dyDescent="0.25">
      <c r="A18" s="21">
        <v>10</v>
      </c>
      <c r="B18" s="61"/>
      <c r="C18" s="60"/>
      <c r="D18" s="60"/>
      <c r="E18" s="60"/>
      <c r="F18" s="120"/>
      <c r="G18" s="60"/>
      <c r="H18" s="60"/>
      <c r="I18" s="61"/>
      <c r="J18" s="60"/>
      <c r="K18" s="60"/>
      <c r="L18" s="60"/>
      <c r="M18" s="61"/>
      <c r="N18" s="10"/>
    </row>
    <row r="19" spans="1:14" x14ac:dyDescent="0.25">
      <c r="A19" s="10"/>
      <c r="B19" s="11"/>
      <c r="C19" s="11"/>
      <c r="D19" s="11"/>
      <c r="E19" s="10"/>
      <c r="F19" s="10"/>
      <c r="G19" s="10"/>
      <c r="H19" s="10"/>
      <c r="I19" s="10"/>
      <c r="J19" s="10"/>
      <c r="K19" s="10"/>
      <c r="L19" s="10"/>
      <c r="M19" s="10"/>
      <c r="N19" s="10"/>
    </row>
    <row r="20" spans="1:14" x14ac:dyDescent="0.25">
      <c r="A20" s="10"/>
      <c r="B20" s="11"/>
      <c r="C20" s="11"/>
      <c r="D20" s="11"/>
      <c r="E20" s="10"/>
      <c r="F20" s="10"/>
      <c r="G20" s="10"/>
      <c r="H20" s="10"/>
      <c r="I20" s="10"/>
      <c r="J20" s="10"/>
      <c r="K20" s="10"/>
      <c r="L20" s="10"/>
      <c r="M20" s="10"/>
      <c r="N20" s="10"/>
    </row>
    <row r="21" spans="1:14" x14ac:dyDescent="0.25">
      <c r="A21" s="10"/>
      <c r="B21" s="11"/>
      <c r="C21" s="11"/>
      <c r="D21" s="11"/>
      <c r="E21" s="10"/>
      <c r="F21" s="10"/>
      <c r="G21" s="10"/>
      <c r="H21" s="10"/>
      <c r="I21" s="10"/>
      <c r="J21" s="10"/>
      <c r="K21" s="10"/>
      <c r="L21" s="10"/>
      <c r="M21" s="10"/>
      <c r="N21" s="10"/>
    </row>
    <row r="22" spans="1:14" x14ac:dyDescent="0.25">
      <c r="A22" s="10"/>
      <c r="B22" s="11"/>
      <c r="C22" s="11"/>
      <c r="D22" s="11"/>
      <c r="E22" s="10"/>
      <c r="F22" s="10"/>
      <c r="G22" s="10"/>
      <c r="H22" s="10"/>
      <c r="I22" s="10"/>
      <c r="J22" s="10"/>
      <c r="K22" s="10"/>
      <c r="L22" s="10"/>
      <c r="M22" s="10"/>
      <c r="N22" s="10"/>
    </row>
  </sheetData>
  <sheetProtection algorithmName="SHA-512" hashValue="hW38X+NFFKSEYbqx0dLRKH/lGo0sBWLQQNufE3SQ1qYpGRD0pygRSeqRU8ykBa1qM52YosHcy851fZpA5I7u1Q==" saltValue="UlYUL5fD4kIg1vLUah1ZaQ==" spinCount="100000" sheet="1" formatCells="0" formatColumns="0" formatRows="0" insertColumns="0" insertRows="0" insertHyperlinks="0" deleteColumns="0" deleteRows="0" sort="0" autoFilter="0" pivotTables="0"/>
  <mergeCells count="5">
    <mergeCell ref="C7:M7"/>
    <mergeCell ref="B6:M6"/>
    <mergeCell ref="B4:M4"/>
    <mergeCell ref="A2:M2"/>
    <mergeCell ref="B5:M5"/>
  </mergeCells>
  <conditionalFormatting sqref="D9:L18">
    <cfRule type="containsBlanks" dxfId="50" priority="13">
      <formula>LEN(TRIM(D9))=0</formula>
    </cfRule>
  </conditionalFormatting>
  <conditionalFormatting sqref="M9:M18">
    <cfRule type="containsBlanks" dxfId="49" priority="7">
      <formula>LEN(TRIM(M9))=0</formula>
    </cfRule>
  </conditionalFormatting>
  <conditionalFormatting sqref="C9:C18">
    <cfRule type="containsBlanks" dxfId="48" priority="3">
      <formula>LEN(TRIM(C9))=0</formula>
    </cfRule>
  </conditionalFormatting>
  <conditionalFormatting sqref="B9:B18">
    <cfRule type="containsBlanks" dxfId="47" priority="1">
      <formula>LEN(TRIM(B9))=0</formula>
    </cfRule>
  </conditionalFormatting>
  <dataValidations count="1">
    <dataValidation type="date" allowBlank="1" showInputMessage="1" showErrorMessage="1" errorTitle="Date validation error." error="Please enter a valid birth date!" promptTitle="Birth date" prompt="Please enter the representative's birth date!" sqref="F9:F18" xr:uid="{13D48214-FFDD-431D-A9EB-33407D88CD53}">
      <formula1>$Q$4</formula1>
      <formula2>$R$4</formula2>
    </dataValidation>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E9D072ED-F049-4A20-92E2-F2889E76A9B9}">
          <x14:formula1>
            <xm:f>'Nationality List'!$B$2:$B$198</xm:f>
          </x14:formula1>
          <xm:sqref>G9:G18</xm:sqref>
        </x14:dataValidation>
        <x14:dataValidation type="list" allowBlank="1" showInputMessage="1" showErrorMessage="1" xr:uid="{008BC4B4-C419-4312-B5A8-3E0A83233885}">
          <x14:formula1>
            <xm:f>'Country List'!$B$2:$B$249</xm:f>
          </x14:formula1>
          <xm:sqref>K9:K18</xm:sqref>
        </x14:dataValidation>
        <x14:dataValidation type="list" allowBlank="1" showInputMessage="1" showErrorMessage="1" xr:uid="{C490C550-AA3E-44C9-91B9-3C1E0119628A}">
          <x14:formula1>
            <xm:f>'US State List'!$B$2:$B$53</xm:f>
          </x14:formula1>
          <xm:sqref>L9:L18</xm:sqref>
        </x14:dataValidation>
        <x14:dataValidation type="list" allowBlank="1" showInputMessage="1" showErrorMessage="1" xr:uid="{D8441721-D91B-4267-A923-D576900E2B3E}">
          <x14:formula1>
            <xm:f>FieldValidation!$E$166:$E$171</xm:f>
          </x14:formula1>
          <xm:sqref>B11:B18</xm:sqref>
        </x14:dataValidation>
        <x14:dataValidation type="list" allowBlank="1" showInputMessage="1" showErrorMessage="1" xr:uid="{0310FE8A-9748-43F5-B1BF-44E6B8370636}">
          <x14:formula1>
            <xm:f>FieldValidation!$E$166:$E$172</xm:f>
          </x14:formula1>
          <xm:sqref>B9 B10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CDE28-AF29-4E7D-A421-475EAC2D16E8}">
  <sheetPr codeName="Sheet4"/>
  <dimension ref="A1:G45"/>
  <sheetViews>
    <sheetView zoomScale="98" zoomScaleNormal="98" workbookViewId="0">
      <selection activeCell="B7" sqref="B7"/>
    </sheetView>
  </sheetViews>
  <sheetFormatPr defaultRowHeight="15" x14ac:dyDescent="0.25"/>
  <cols>
    <col min="1" max="1" width="5.140625" customWidth="1"/>
    <col min="2" max="2" width="25" bestFit="1" customWidth="1"/>
    <col min="3" max="3" width="38.42578125" customWidth="1"/>
    <col min="4" max="4" width="35.42578125" customWidth="1"/>
    <col min="5" max="5" width="25.85546875" customWidth="1"/>
    <col min="6" max="6" width="43.85546875" customWidth="1"/>
  </cols>
  <sheetData>
    <row r="1" spans="1:7" ht="47.45" customHeight="1" thickBot="1" x14ac:dyDescent="0.3">
      <c r="A1" s="10"/>
      <c r="B1" s="11"/>
      <c r="C1" s="10"/>
      <c r="D1" s="10"/>
      <c r="E1" s="11"/>
      <c r="F1" s="11"/>
      <c r="G1" s="10"/>
    </row>
    <row r="2" spans="1:7" ht="51.95" customHeight="1" thickBot="1" x14ac:dyDescent="0.4">
      <c r="A2" s="190" t="s">
        <v>1274</v>
      </c>
      <c r="B2" s="191"/>
      <c r="C2" s="191"/>
      <c r="D2" s="191"/>
      <c r="E2" s="191"/>
      <c r="F2" s="192"/>
      <c r="G2" s="10"/>
    </row>
    <row r="3" spans="1:7" ht="21.75" thickBot="1" x14ac:dyDescent="0.4">
      <c r="A3" s="220"/>
      <c r="B3" s="220"/>
      <c r="C3" s="220"/>
      <c r="D3" s="220"/>
      <c r="E3" s="220"/>
      <c r="F3" s="220"/>
      <c r="G3" s="10"/>
    </row>
    <row r="4" spans="1:7" ht="67.349999999999994" customHeight="1" thickBot="1" x14ac:dyDescent="0.4">
      <c r="A4" s="222" t="s">
        <v>1006</v>
      </c>
      <c r="B4" s="223"/>
      <c r="C4" s="223"/>
      <c r="D4" s="223"/>
      <c r="E4" s="223"/>
      <c r="F4" s="224"/>
      <c r="G4" s="10"/>
    </row>
    <row r="5" spans="1:7" ht="21.75" customHeight="1" thickBot="1" x14ac:dyDescent="0.3">
      <c r="A5" s="221"/>
      <c r="B5" s="221"/>
      <c r="C5" s="221"/>
      <c r="D5" s="221"/>
      <c r="E5" s="221"/>
      <c r="F5" s="221"/>
      <c r="G5" s="10"/>
    </row>
    <row r="6" spans="1:7" ht="45.95" customHeight="1" thickBot="1" x14ac:dyDescent="0.3">
      <c r="A6" s="19"/>
      <c r="B6" s="18" t="s">
        <v>591</v>
      </c>
      <c r="C6" s="18" t="s">
        <v>592</v>
      </c>
      <c r="D6" s="18" t="s">
        <v>590</v>
      </c>
      <c r="E6" s="18" t="s">
        <v>593</v>
      </c>
      <c r="F6" s="23" t="s">
        <v>574</v>
      </c>
      <c r="G6" s="10"/>
    </row>
    <row r="7" spans="1:7" ht="32.1" customHeight="1" x14ac:dyDescent="0.25">
      <c r="A7" s="20">
        <v>1</v>
      </c>
      <c r="B7" s="60"/>
      <c r="C7" s="61"/>
      <c r="D7" s="61"/>
      <c r="E7" s="61"/>
      <c r="F7" s="61"/>
      <c r="G7" s="10"/>
    </row>
    <row r="8" spans="1:7" ht="32.1" customHeight="1" x14ac:dyDescent="0.25">
      <c r="A8" s="21">
        <v>2</v>
      </c>
      <c r="B8" s="60"/>
      <c r="C8" s="61"/>
      <c r="D8" s="61"/>
      <c r="E8" s="61"/>
      <c r="F8" s="61"/>
      <c r="G8" s="10"/>
    </row>
    <row r="9" spans="1:7" ht="32.1" customHeight="1" x14ac:dyDescent="0.25">
      <c r="A9" s="21">
        <v>3</v>
      </c>
      <c r="B9" s="60"/>
      <c r="C9" s="61"/>
      <c r="D9" s="61"/>
      <c r="E9" s="61"/>
      <c r="F9" s="61"/>
      <c r="G9" s="10"/>
    </row>
    <row r="10" spans="1:7" ht="32.1" customHeight="1" x14ac:dyDescent="0.25">
      <c r="A10" s="21">
        <v>4</v>
      </c>
      <c r="B10" s="60"/>
      <c r="C10" s="61"/>
      <c r="D10" s="61"/>
      <c r="E10" s="61"/>
      <c r="F10" s="61"/>
      <c r="G10" s="10"/>
    </row>
    <row r="11" spans="1:7" ht="32.1" customHeight="1" x14ac:dyDescent="0.25">
      <c r="A11" s="20">
        <v>5</v>
      </c>
      <c r="B11" s="60"/>
      <c r="C11" s="61"/>
      <c r="D11" s="61"/>
      <c r="E11" s="61"/>
      <c r="F11" s="61"/>
      <c r="G11" s="10"/>
    </row>
    <row r="12" spans="1:7" ht="32.1" customHeight="1" x14ac:dyDescent="0.25">
      <c r="A12" s="21">
        <v>6</v>
      </c>
      <c r="B12" s="60"/>
      <c r="C12" s="61"/>
      <c r="D12" s="61"/>
      <c r="E12" s="61"/>
      <c r="F12" s="61"/>
      <c r="G12" s="10"/>
    </row>
    <row r="13" spans="1:7" ht="32.1" customHeight="1" x14ac:dyDescent="0.25">
      <c r="A13" s="21">
        <v>7</v>
      </c>
      <c r="B13" s="60"/>
      <c r="C13" s="61"/>
      <c r="D13" s="61"/>
      <c r="E13" s="61"/>
      <c r="F13" s="61"/>
      <c r="G13" s="10"/>
    </row>
    <row r="14" spans="1:7" ht="32.1" customHeight="1" x14ac:dyDescent="0.25">
      <c r="A14" s="21">
        <v>8</v>
      </c>
      <c r="B14" s="60"/>
      <c r="C14" s="61"/>
      <c r="D14" s="61"/>
      <c r="E14" s="61"/>
      <c r="F14" s="61"/>
      <c r="G14" s="10"/>
    </row>
    <row r="15" spans="1:7" ht="32.1" customHeight="1" x14ac:dyDescent="0.25">
      <c r="A15" s="20">
        <v>9</v>
      </c>
      <c r="B15" s="60"/>
      <c r="C15" s="61"/>
      <c r="D15" s="61"/>
      <c r="E15" s="61"/>
      <c r="F15" s="61"/>
      <c r="G15" s="10"/>
    </row>
    <row r="16" spans="1:7" ht="32.1" customHeight="1" x14ac:dyDescent="0.25">
      <c r="A16" s="21">
        <v>10</v>
      </c>
      <c r="B16" s="60"/>
      <c r="C16" s="61"/>
      <c r="D16" s="61"/>
      <c r="E16" s="61"/>
      <c r="F16" s="61"/>
      <c r="G16" s="10"/>
    </row>
    <row r="17" spans="1:7" ht="32.1" customHeight="1" x14ac:dyDescent="0.25">
      <c r="A17" s="21">
        <v>11</v>
      </c>
      <c r="B17" s="60"/>
      <c r="C17" s="61"/>
      <c r="D17" s="61"/>
      <c r="E17" s="61"/>
      <c r="F17" s="61"/>
      <c r="G17" s="10"/>
    </row>
    <row r="18" spans="1:7" ht="32.1" customHeight="1" x14ac:dyDescent="0.25">
      <c r="A18" s="20">
        <v>12</v>
      </c>
      <c r="B18" s="60"/>
      <c r="C18" s="61"/>
      <c r="D18" s="61"/>
      <c r="E18" s="61"/>
      <c r="F18" s="61"/>
      <c r="G18" s="10"/>
    </row>
    <row r="19" spans="1:7" ht="32.1" customHeight="1" x14ac:dyDescent="0.25">
      <c r="A19" s="21">
        <v>13</v>
      </c>
      <c r="B19" s="60"/>
      <c r="C19" s="61"/>
      <c r="D19" s="61"/>
      <c r="E19" s="61"/>
      <c r="F19" s="61"/>
      <c r="G19" s="10"/>
    </row>
    <row r="20" spans="1:7" ht="32.1" customHeight="1" x14ac:dyDescent="0.25">
      <c r="A20" s="21">
        <v>14</v>
      </c>
      <c r="B20" s="60"/>
      <c r="C20" s="61"/>
      <c r="D20" s="61"/>
      <c r="E20" s="61"/>
      <c r="F20" s="61"/>
      <c r="G20" s="10"/>
    </row>
    <row r="21" spans="1:7" ht="32.1" customHeight="1" x14ac:dyDescent="0.25">
      <c r="A21" s="21">
        <v>15</v>
      </c>
      <c r="B21" s="60"/>
      <c r="C21" s="61"/>
      <c r="D21" s="61"/>
      <c r="E21" s="61"/>
      <c r="F21" s="61"/>
      <c r="G21" s="10"/>
    </row>
    <row r="22" spans="1:7" ht="32.1" customHeight="1" x14ac:dyDescent="0.25">
      <c r="A22" s="20">
        <v>16</v>
      </c>
      <c r="B22" s="60"/>
      <c r="C22" s="61"/>
      <c r="D22" s="61"/>
      <c r="E22" s="61"/>
      <c r="F22" s="61"/>
      <c r="G22" s="10"/>
    </row>
    <row r="23" spans="1:7" ht="32.1" customHeight="1" x14ac:dyDescent="0.25">
      <c r="A23" s="21">
        <v>17</v>
      </c>
      <c r="B23" s="60"/>
      <c r="C23" s="61"/>
      <c r="D23" s="61"/>
      <c r="E23" s="61"/>
      <c r="F23" s="61"/>
      <c r="G23" s="10"/>
    </row>
    <row r="24" spans="1:7" ht="32.1" customHeight="1" x14ac:dyDescent="0.25">
      <c r="A24" s="20">
        <v>18</v>
      </c>
      <c r="B24" s="60"/>
      <c r="C24" s="61"/>
      <c r="D24" s="61"/>
      <c r="E24" s="61"/>
      <c r="F24" s="61"/>
      <c r="G24" s="10"/>
    </row>
    <row r="25" spans="1:7" ht="32.1" customHeight="1" x14ac:dyDescent="0.25">
      <c r="A25" s="21">
        <v>19</v>
      </c>
      <c r="B25" s="60"/>
      <c r="C25" s="61"/>
      <c r="D25" s="61"/>
      <c r="E25" s="61"/>
      <c r="F25" s="61"/>
      <c r="G25" s="10"/>
    </row>
    <row r="26" spans="1:7" ht="32.1" customHeight="1" x14ac:dyDescent="0.25">
      <c r="A26" s="21">
        <v>20</v>
      </c>
      <c r="B26" s="60"/>
      <c r="C26" s="61"/>
      <c r="D26" s="61"/>
      <c r="E26" s="61"/>
      <c r="F26" s="61"/>
      <c r="G26" s="10"/>
    </row>
    <row r="27" spans="1:7" ht="32.1" customHeight="1" x14ac:dyDescent="0.25">
      <c r="A27" s="21">
        <v>21</v>
      </c>
      <c r="B27" s="60"/>
      <c r="C27" s="61"/>
      <c r="D27" s="61"/>
      <c r="E27" s="61"/>
      <c r="F27" s="61"/>
      <c r="G27" s="10"/>
    </row>
    <row r="28" spans="1:7" ht="32.1" customHeight="1" x14ac:dyDescent="0.25">
      <c r="A28" s="20">
        <v>22</v>
      </c>
      <c r="B28" s="60"/>
      <c r="C28" s="61"/>
      <c r="D28" s="61"/>
      <c r="E28" s="61"/>
      <c r="F28" s="61"/>
      <c r="G28" s="10"/>
    </row>
    <row r="29" spans="1:7" ht="32.1" customHeight="1" x14ac:dyDescent="0.25">
      <c r="A29" s="21">
        <v>23</v>
      </c>
      <c r="B29" s="60"/>
      <c r="C29" s="61"/>
      <c r="D29" s="61"/>
      <c r="E29" s="61"/>
      <c r="F29" s="61"/>
      <c r="G29" s="10"/>
    </row>
    <row r="30" spans="1:7" ht="32.1" customHeight="1" x14ac:dyDescent="0.25">
      <c r="A30" s="21">
        <v>24</v>
      </c>
      <c r="B30" s="60"/>
      <c r="C30" s="61"/>
      <c r="D30" s="61"/>
      <c r="E30" s="61"/>
      <c r="F30" s="61"/>
      <c r="G30" s="10"/>
    </row>
    <row r="31" spans="1:7" ht="32.1" customHeight="1" x14ac:dyDescent="0.25">
      <c r="A31" s="21">
        <v>25</v>
      </c>
      <c r="B31" s="60"/>
      <c r="C31" s="61"/>
      <c r="D31" s="61"/>
      <c r="E31" s="61"/>
      <c r="F31" s="61"/>
      <c r="G31" s="10"/>
    </row>
    <row r="32" spans="1:7" ht="32.1" customHeight="1" x14ac:dyDescent="0.25">
      <c r="A32" s="20">
        <v>26</v>
      </c>
      <c r="B32" s="60"/>
      <c r="C32" s="61"/>
      <c r="D32" s="61"/>
      <c r="E32" s="61"/>
      <c r="F32" s="61"/>
      <c r="G32" s="10"/>
    </row>
    <row r="33" spans="1:7" ht="32.1" customHeight="1" x14ac:dyDescent="0.25">
      <c r="A33" s="21">
        <v>27</v>
      </c>
      <c r="B33" s="60"/>
      <c r="C33" s="61"/>
      <c r="D33" s="61"/>
      <c r="E33" s="61"/>
      <c r="F33" s="61"/>
      <c r="G33" s="10"/>
    </row>
    <row r="34" spans="1:7" ht="32.1" customHeight="1" x14ac:dyDescent="0.25">
      <c r="A34" s="21">
        <v>28</v>
      </c>
      <c r="B34" s="60"/>
      <c r="C34" s="61"/>
      <c r="D34" s="61"/>
      <c r="E34" s="61"/>
      <c r="F34" s="61"/>
      <c r="G34" s="10"/>
    </row>
    <row r="35" spans="1:7" ht="32.1" customHeight="1" x14ac:dyDescent="0.25">
      <c r="A35" s="21">
        <v>29</v>
      </c>
      <c r="B35" s="60"/>
      <c r="C35" s="61"/>
      <c r="D35" s="61"/>
      <c r="E35" s="61"/>
      <c r="F35" s="61"/>
      <c r="G35" s="10"/>
    </row>
    <row r="36" spans="1:7" ht="32.1" customHeight="1" x14ac:dyDescent="0.25">
      <c r="A36" s="20">
        <v>30</v>
      </c>
      <c r="B36" s="60"/>
      <c r="C36" s="61"/>
      <c r="D36" s="61"/>
      <c r="E36" s="61"/>
      <c r="F36" s="61"/>
      <c r="G36" s="10"/>
    </row>
    <row r="37" spans="1:7" x14ac:dyDescent="0.25">
      <c r="A37" s="10"/>
      <c r="B37" s="11"/>
      <c r="C37" s="11"/>
      <c r="D37" s="11"/>
      <c r="E37" s="10"/>
      <c r="F37" s="10"/>
      <c r="G37" s="10"/>
    </row>
    <row r="38" spans="1:7" ht="49.5" customHeight="1" x14ac:dyDescent="0.25">
      <c r="A38" s="10"/>
      <c r="B38" s="70" t="s">
        <v>692</v>
      </c>
      <c r="C38" s="114"/>
      <c r="D38" s="114"/>
      <c r="E38" s="114"/>
      <c r="F38" s="114"/>
      <c r="G38" s="10"/>
    </row>
    <row r="39" spans="1:7" x14ac:dyDescent="0.25">
      <c r="A39" s="10"/>
      <c r="B39" s="10"/>
      <c r="C39" s="10"/>
      <c r="D39" s="10"/>
      <c r="E39" s="10"/>
      <c r="F39" s="10"/>
      <c r="G39" s="10"/>
    </row>
    <row r="45" spans="1:7" hidden="1" x14ac:dyDescent="0.25">
      <c r="B45" t="s">
        <v>1113</v>
      </c>
      <c r="C45" t="s">
        <v>1114</v>
      </c>
      <c r="D45" t="s">
        <v>1115</v>
      </c>
      <c r="E45" t="s">
        <v>1116</v>
      </c>
      <c r="F45" t="s">
        <v>1117</v>
      </c>
    </row>
  </sheetData>
  <sheetProtection algorithmName="SHA-512" hashValue="THPC1T8aYl4akJ7e6L+RpZizIR6o+pa6QWbmOYJn2TeYpzWU3CvqlwfuTG1bMpFy7iMavelkRwopw7aQWqWWjw==" saltValue="jUUuQnHlpXS2Gj9JsesDzg==" spinCount="100000" sheet="1" objects="1" scenarios="1"/>
  <mergeCells count="4">
    <mergeCell ref="A2:F2"/>
    <mergeCell ref="A3:F3"/>
    <mergeCell ref="A5:F5"/>
    <mergeCell ref="A4:F4"/>
  </mergeCells>
  <conditionalFormatting sqref="B7:F36">
    <cfRule type="containsBlanks" dxfId="46" priority="5">
      <formula>LEN(TRIM(B7))=0</formula>
    </cfRule>
  </conditionalFormatting>
  <conditionalFormatting sqref="C38">
    <cfRule type="containsBlanks" dxfId="45" priority="6">
      <formula>LEN(TRIM(C38))=0</formula>
    </cfRule>
  </conditionalFormatting>
  <conditionalFormatting sqref="D38">
    <cfRule type="containsBlanks" dxfId="44" priority="3">
      <formula>LEN(TRIM(D38))=0</formula>
    </cfRule>
  </conditionalFormatting>
  <conditionalFormatting sqref="E38">
    <cfRule type="containsBlanks" dxfId="43" priority="2">
      <formula>LEN(TRIM(E38))=0</formula>
    </cfRule>
  </conditionalFormatting>
  <conditionalFormatting sqref="F38">
    <cfRule type="containsBlanks" dxfId="42" priority="1">
      <formula>LEN(TRIM(F38))=0</formula>
    </cfRule>
  </conditionalFormatting>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7BCB7FB5-1848-4493-A7BD-A2A55794F5E8}">
          <x14:formula1>
            <xm:f>FieldValidation!$E$182:$E$183</xm:f>
          </x14:formula1>
          <xm:sqref>B7:B36</xm:sqref>
        </x14:dataValidation>
        <x14:dataValidation type="list" allowBlank="1" showInputMessage="1" showErrorMessage="1" xr:uid="{9476F68D-BE59-4E86-A6B9-D8EC2E1D5529}">
          <x14:formula1>
            <xm:f>'Country List'!$B$2:$B$249</xm:f>
          </x14:formula1>
          <xm:sqref>E7:E36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8AFA4-1DFA-4546-BFCF-8A8241654F3B}">
  <sheetPr codeName="Sheet7"/>
  <dimension ref="A1:B249"/>
  <sheetViews>
    <sheetView topLeftCell="A10" workbookViewId="0">
      <selection activeCell="C32" sqref="C32"/>
    </sheetView>
  </sheetViews>
  <sheetFormatPr defaultRowHeight="12" customHeight="1" x14ac:dyDescent="0.25"/>
  <cols>
    <col min="1" max="1" width="20.140625" customWidth="1"/>
    <col min="2" max="2" width="38.85546875" customWidth="1"/>
  </cols>
  <sheetData>
    <row r="1" spans="1:2" ht="12" customHeight="1" x14ac:dyDescent="0.25">
      <c r="A1" s="72" t="s">
        <v>928</v>
      </c>
      <c r="B1" s="72" t="s">
        <v>936</v>
      </c>
    </row>
    <row r="2" spans="1:2" ht="12" customHeight="1" x14ac:dyDescent="0.25">
      <c r="A2" s="65" t="s">
        <v>55</v>
      </c>
      <c r="B2" s="66" t="s">
        <v>54</v>
      </c>
    </row>
    <row r="3" spans="1:2" ht="12" customHeight="1" x14ac:dyDescent="0.25">
      <c r="A3" s="65" t="s">
        <v>902</v>
      </c>
      <c r="B3" s="67" t="s">
        <v>929</v>
      </c>
    </row>
    <row r="4" spans="1:2" ht="12" customHeight="1" x14ac:dyDescent="0.25">
      <c r="A4" s="65" t="s">
        <v>57</v>
      </c>
      <c r="B4" s="66" t="s">
        <v>56</v>
      </c>
    </row>
    <row r="5" spans="1:2" ht="12" customHeight="1" x14ac:dyDescent="0.25">
      <c r="A5" s="65" t="s">
        <v>59</v>
      </c>
      <c r="B5" s="66" t="s">
        <v>58</v>
      </c>
    </row>
    <row r="6" spans="1:2" ht="12" customHeight="1" x14ac:dyDescent="0.25">
      <c r="A6" s="65" t="s">
        <v>61</v>
      </c>
      <c r="B6" s="67" t="s">
        <v>60</v>
      </c>
    </row>
    <row r="7" spans="1:2" ht="12" customHeight="1" x14ac:dyDescent="0.25">
      <c r="A7" s="65" t="s">
        <v>63</v>
      </c>
      <c r="B7" s="66" t="s">
        <v>62</v>
      </c>
    </row>
    <row r="8" spans="1:2" ht="12" customHeight="1" x14ac:dyDescent="0.25">
      <c r="A8" s="65" t="s">
        <v>65</v>
      </c>
      <c r="B8" s="66" t="s">
        <v>64</v>
      </c>
    </row>
    <row r="9" spans="1:2" ht="12" customHeight="1" x14ac:dyDescent="0.25">
      <c r="A9" s="65" t="s">
        <v>67</v>
      </c>
      <c r="B9" s="67" t="s">
        <v>66</v>
      </c>
    </row>
    <row r="10" spans="1:2" ht="12" customHeight="1" x14ac:dyDescent="0.25">
      <c r="A10" s="65" t="s">
        <v>69</v>
      </c>
      <c r="B10" s="68" t="s">
        <v>903</v>
      </c>
    </row>
    <row r="11" spans="1:2" ht="12" customHeight="1" x14ac:dyDescent="0.25">
      <c r="A11" s="65" t="s">
        <v>71</v>
      </c>
      <c r="B11" s="66" t="s">
        <v>70</v>
      </c>
    </row>
    <row r="12" spans="1:2" ht="12" customHeight="1" x14ac:dyDescent="0.25">
      <c r="A12" s="65" t="s">
        <v>73</v>
      </c>
      <c r="B12" s="66" t="s">
        <v>72</v>
      </c>
    </row>
    <row r="13" spans="1:2" ht="12" customHeight="1" x14ac:dyDescent="0.25">
      <c r="A13" s="65" t="s">
        <v>75</v>
      </c>
      <c r="B13" s="67" t="s">
        <v>74</v>
      </c>
    </row>
    <row r="14" spans="1:2" ht="12" customHeight="1" x14ac:dyDescent="0.25">
      <c r="A14" s="65" t="s">
        <v>78</v>
      </c>
      <c r="B14" s="66" t="s">
        <v>77</v>
      </c>
    </row>
    <row r="15" spans="1:2" ht="12" customHeight="1" x14ac:dyDescent="0.25">
      <c r="A15" s="65" t="s">
        <v>80</v>
      </c>
      <c r="B15" s="66" t="s">
        <v>79</v>
      </c>
    </row>
    <row r="16" spans="1:2" ht="12" customHeight="1" x14ac:dyDescent="0.25">
      <c r="A16" s="65" t="s">
        <v>82</v>
      </c>
      <c r="B16" s="66" t="s">
        <v>81</v>
      </c>
    </row>
    <row r="17" spans="1:2" ht="12" customHeight="1" x14ac:dyDescent="0.25">
      <c r="A17" s="65" t="s">
        <v>83</v>
      </c>
      <c r="B17" s="66" t="s">
        <v>705</v>
      </c>
    </row>
    <row r="18" spans="1:2" ht="12" customHeight="1" x14ac:dyDescent="0.25">
      <c r="A18" s="65" t="s">
        <v>85</v>
      </c>
      <c r="B18" s="66" t="s">
        <v>84</v>
      </c>
    </row>
    <row r="19" spans="1:2" ht="12" customHeight="1" x14ac:dyDescent="0.25">
      <c r="A19" s="65" t="s">
        <v>88</v>
      </c>
      <c r="B19" s="66" t="s">
        <v>87</v>
      </c>
    </row>
    <row r="20" spans="1:2" ht="12" customHeight="1" x14ac:dyDescent="0.25">
      <c r="A20" s="65" t="s">
        <v>90</v>
      </c>
      <c r="B20" s="66" t="s">
        <v>89</v>
      </c>
    </row>
    <row r="21" spans="1:2" ht="12" customHeight="1" x14ac:dyDescent="0.25">
      <c r="A21" s="65" t="s">
        <v>92</v>
      </c>
      <c r="B21" s="66" t="s">
        <v>91</v>
      </c>
    </row>
    <row r="22" spans="1:2" ht="12" customHeight="1" x14ac:dyDescent="0.25">
      <c r="A22" s="65" t="s">
        <v>94</v>
      </c>
      <c r="B22" s="66" t="s">
        <v>93</v>
      </c>
    </row>
    <row r="23" spans="1:2" ht="12" customHeight="1" x14ac:dyDescent="0.25">
      <c r="A23" s="65" t="s">
        <v>96</v>
      </c>
      <c r="B23" s="66" t="s">
        <v>95</v>
      </c>
    </row>
    <row r="24" spans="1:2" ht="12" customHeight="1" x14ac:dyDescent="0.25">
      <c r="A24" s="65" t="s">
        <v>98</v>
      </c>
      <c r="B24" s="66" t="s">
        <v>97</v>
      </c>
    </row>
    <row r="25" spans="1:2" ht="12" customHeight="1" x14ac:dyDescent="0.25">
      <c r="A25" s="65" t="s">
        <v>100</v>
      </c>
      <c r="B25" s="67" t="s">
        <v>99</v>
      </c>
    </row>
    <row r="26" spans="1:2" ht="12" customHeight="1" x14ac:dyDescent="0.25">
      <c r="A26" s="65" t="s">
        <v>102</v>
      </c>
      <c r="B26" s="66" t="s">
        <v>101</v>
      </c>
    </row>
    <row r="27" spans="1:2" ht="12" customHeight="1" x14ac:dyDescent="0.25">
      <c r="A27" s="65" t="s">
        <v>104</v>
      </c>
      <c r="B27" s="66" t="s">
        <v>103</v>
      </c>
    </row>
    <row r="28" spans="1:2" ht="12" customHeight="1" x14ac:dyDescent="0.25">
      <c r="A28" s="65" t="s">
        <v>105</v>
      </c>
      <c r="B28" s="69" t="s">
        <v>930</v>
      </c>
    </row>
    <row r="29" spans="1:2" ht="12" customHeight="1" x14ac:dyDescent="0.25">
      <c r="A29" s="65" t="s">
        <v>107</v>
      </c>
      <c r="B29" s="66" t="s">
        <v>106</v>
      </c>
    </row>
    <row r="30" spans="1:2" ht="12" customHeight="1" x14ac:dyDescent="0.25">
      <c r="A30" s="65" t="s">
        <v>109</v>
      </c>
      <c r="B30" s="66" t="s">
        <v>108</v>
      </c>
    </row>
    <row r="31" spans="1:2" ht="12" customHeight="1" x14ac:dyDescent="0.25">
      <c r="A31" s="65" t="s">
        <v>111</v>
      </c>
      <c r="B31" s="66" t="s">
        <v>110</v>
      </c>
    </row>
    <row r="32" spans="1:2" ht="12" customHeight="1" x14ac:dyDescent="0.25">
      <c r="A32" s="65" t="s">
        <v>113</v>
      </c>
      <c r="B32" s="67" t="s">
        <v>112</v>
      </c>
    </row>
    <row r="33" spans="1:2" ht="12" customHeight="1" x14ac:dyDescent="0.25">
      <c r="A33" s="65" t="s">
        <v>504</v>
      </c>
      <c r="B33" s="67" t="s">
        <v>904</v>
      </c>
    </row>
    <row r="34" spans="1:2" ht="12" customHeight="1" x14ac:dyDescent="0.25">
      <c r="A34" s="65" t="s">
        <v>115</v>
      </c>
      <c r="B34" s="68" t="s">
        <v>905</v>
      </c>
    </row>
    <row r="35" spans="1:2" ht="12" customHeight="1" x14ac:dyDescent="0.25">
      <c r="A35" s="65" t="s">
        <v>117</v>
      </c>
      <c r="B35" s="66" t="s">
        <v>116</v>
      </c>
    </row>
    <row r="36" spans="1:2" ht="12" customHeight="1" x14ac:dyDescent="0.25">
      <c r="A36" s="65" t="s">
        <v>119</v>
      </c>
      <c r="B36" s="66" t="s">
        <v>118</v>
      </c>
    </row>
    <row r="37" spans="1:2" ht="12" customHeight="1" x14ac:dyDescent="0.25">
      <c r="A37" s="65" t="s">
        <v>122</v>
      </c>
      <c r="B37" s="66" t="s">
        <v>121</v>
      </c>
    </row>
    <row r="38" spans="1:2" ht="12" customHeight="1" x14ac:dyDescent="0.25">
      <c r="A38" s="65" t="s">
        <v>125</v>
      </c>
      <c r="B38" s="66" t="s">
        <v>124</v>
      </c>
    </row>
    <row r="39" spans="1:2" ht="12" customHeight="1" x14ac:dyDescent="0.25">
      <c r="A39" s="65" t="s">
        <v>127</v>
      </c>
      <c r="B39" s="66" t="s">
        <v>126</v>
      </c>
    </row>
    <row r="40" spans="1:2" ht="12" customHeight="1" x14ac:dyDescent="0.25">
      <c r="A40" s="65" t="s">
        <v>129</v>
      </c>
      <c r="B40" s="66" t="s">
        <v>128</v>
      </c>
    </row>
    <row r="41" spans="1:2" ht="12" customHeight="1" x14ac:dyDescent="0.25">
      <c r="A41" s="65" t="s">
        <v>123</v>
      </c>
      <c r="B41" s="68" t="s">
        <v>726</v>
      </c>
    </row>
    <row r="42" spans="1:2" ht="12" customHeight="1" x14ac:dyDescent="0.25">
      <c r="A42" s="65" t="s">
        <v>131</v>
      </c>
      <c r="B42" s="67" t="s">
        <v>130</v>
      </c>
    </row>
    <row r="43" spans="1:2" ht="12" customHeight="1" x14ac:dyDescent="0.25">
      <c r="A43" s="65" t="s">
        <v>133</v>
      </c>
      <c r="B43" s="66" t="s">
        <v>132</v>
      </c>
    </row>
    <row r="44" spans="1:2" ht="12" customHeight="1" x14ac:dyDescent="0.25">
      <c r="A44" s="65" t="s">
        <v>135</v>
      </c>
      <c r="B44" s="66" t="s">
        <v>134</v>
      </c>
    </row>
    <row r="45" spans="1:2" ht="12" customHeight="1" x14ac:dyDescent="0.25">
      <c r="A45" s="65" t="s">
        <v>137</v>
      </c>
      <c r="B45" s="66" t="s">
        <v>136</v>
      </c>
    </row>
    <row r="46" spans="1:2" ht="12" customHeight="1" x14ac:dyDescent="0.25">
      <c r="A46" s="65" t="s">
        <v>139</v>
      </c>
      <c r="B46" s="66" t="s">
        <v>138</v>
      </c>
    </row>
    <row r="47" spans="1:2" ht="12" customHeight="1" x14ac:dyDescent="0.25">
      <c r="A47" s="65" t="s">
        <v>141</v>
      </c>
      <c r="B47" s="67" t="s">
        <v>140</v>
      </c>
    </row>
    <row r="48" spans="1:2" ht="12" customHeight="1" x14ac:dyDescent="0.25">
      <c r="A48" s="65" t="s">
        <v>143</v>
      </c>
      <c r="B48" s="67" t="s">
        <v>142</v>
      </c>
    </row>
    <row r="49" spans="1:2" ht="12" customHeight="1" x14ac:dyDescent="0.25">
      <c r="A49" s="65" t="s">
        <v>145</v>
      </c>
      <c r="B49" s="66" t="s">
        <v>144</v>
      </c>
    </row>
    <row r="50" spans="1:2" ht="12" customHeight="1" x14ac:dyDescent="0.25">
      <c r="A50" s="65" t="s">
        <v>147</v>
      </c>
      <c r="B50" s="66" t="s">
        <v>146</v>
      </c>
    </row>
    <row r="51" spans="1:2" ht="12" customHeight="1" x14ac:dyDescent="0.25">
      <c r="A51" s="65" t="s">
        <v>149</v>
      </c>
      <c r="B51" s="66" t="s">
        <v>148</v>
      </c>
    </row>
    <row r="52" spans="1:2" ht="12" customHeight="1" x14ac:dyDescent="0.25">
      <c r="A52" s="65" t="s">
        <v>151</v>
      </c>
      <c r="B52" s="66" t="s">
        <v>150</v>
      </c>
    </row>
    <row r="53" spans="1:2" ht="12" customHeight="1" x14ac:dyDescent="0.25">
      <c r="A53" s="65" t="s">
        <v>153</v>
      </c>
      <c r="B53" s="67" t="s">
        <v>152</v>
      </c>
    </row>
    <row r="54" spans="1:2" ht="12" customHeight="1" x14ac:dyDescent="0.25">
      <c r="A54" s="65" t="s">
        <v>155</v>
      </c>
      <c r="B54" s="66" t="s">
        <v>154</v>
      </c>
    </row>
    <row r="55" spans="1:2" ht="12" customHeight="1" x14ac:dyDescent="0.25">
      <c r="A55" s="65" t="s">
        <v>159</v>
      </c>
      <c r="B55" s="66" t="s">
        <v>158</v>
      </c>
    </row>
    <row r="56" spans="1:2" ht="12" customHeight="1" x14ac:dyDescent="0.25">
      <c r="A56" s="65" t="s">
        <v>160</v>
      </c>
      <c r="B56" s="68" t="s">
        <v>23</v>
      </c>
    </row>
    <row r="57" spans="1:2" ht="12" customHeight="1" x14ac:dyDescent="0.25">
      <c r="A57" s="65" t="s">
        <v>162</v>
      </c>
      <c r="B57" s="67" t="s">
        <v>161</v>
      </c>
    </row>
    <row r="58" spans="1:2" ht="12" customHeight="1" x14ac:dyDescent="0.25">
      <c r="A58" s="65" t="s">
        <v>164</v>
      </c>
      <c r="B58" s="66" t="s">
        <v>163</v>
      </c>
    </row>
    <row r="59" spans="1:2" ht="12" customHeight="1" x14ac:dyDescent="0.25">
      <c r="A59" s="65" t="s">
        <v>165</v>
      </c>
      <c r="B59" s="66" t="s">
        <v>741</v>
      </c>
    </row>
    <row r="60" spans="1:2" ht="12" customHeight="1" x14ac:dyDescent="0.25">
      <c r="A60" s="65" t="s">
        <v>167</v>
      </c>
      <c r="B60" s="66" t="s">
        <v>166</v>
      </c>
    </row>
    <row r="61" spans="1:2" ht="12" customHeight="1" x14ac:dyDescent="0.25">
      <c r="A61" s="65" t="s">
        <v>169</v>
      </c>
      <c r="B61" s="66" t="s">
        <v>168</v>
      </c>
    </row>
    <row r="62" spans="1:2" ht="12" customHeight="1" x14ac:dyDescent="0.25">
      <c r="A62" s="65" t="s">
        <v>171</v>
      </c>
      <c r="B62" s="66" t="s">
        <v>170</v>
      </c>
    </row>
    <row r="63" spans="1:2" ht="12" customHeight="1" x14ac:dyDescent="0.25">
      <c r="A63" s="65" t="s">
        <v>173</v>
      </c>
      <c r="B63" s="66" t="s">
        <v>172</v>
      </c>
    </row>
    <row r="64" spans="1:2" ht="12" customHeight="1" x14ac:dyDescent="0.25">
      <c r="A64" s="65" t="s">
        <v>931</v>
      </c>
      <c r="B64" s="68" t="s">
        <v>932</v>
      </c>
    </row>
    <row r="65" spans="1:2" ht="12" customHeight="1" x14ac:dyDescent="0.25">
      <c r="A65" s="65" t="s">
        <v>175</v>
      </c>
      <c r="B65" s="66" t="s">
        <v>174</v>
      </c>
    </row>
    <row r="66" spans="1:2" ht="12" customHeight="1" x14ac:dyDescent="0.25">
      <c r="A66" s="65" t="s">
        <v>177</v>
      </c>
      <c r="B66" s="66" t="s">
        <v>176</v>
      </c>
    </row>
    <row r="67" spans="1:2" ht="12" customHeight="1" x14ac:dyDescent="0.25">
      <c r="A67" s="65" t="s">
        <v>179</v>
      </c>
      <c r="B67" s="66" t="s">
        <v>178</v>
      </c>
    </row>
    <row r="68" spans="1:2" ht="12" customHeight="1" x14ac:dyDescent="0.25">
      <c r="A68" s="65" t="s">
        <v>181</v>
      </c>
      <c r="B68" s="66" t="s">
        <v>180</v>
      </c>
    </row>
    <row r="69" spans="1:2" ht="12" customHeight="1" x14ac:dyDescent="0.25">
      <c r="A69" s="65" t="s">
        <v>183</v>
      </c>
      <c r="B69" s="66" t="s">
        <v>182</v>
      </c>
    </row>
    <row r="70" spans="1:2" ht="12" customHeight="1" x14ac:dyDescent="0.25">
      <c r="A70" s="65" t="s">
        <v>185</v>
      </c>
      <c r="B70" s="66" t="s">
        <v>184</v>
      </c>
    </row>
    <row r="71" spans="1:2" ht="12" customHeight="1" x14ac:dyDescent="0.25">
      <c r="A71" s="65" t="s">
        <v>188</v>
      </c>
      <c r="B71" s="66" t="s">
        <v>187</v>
      </c>
    </row>
    <row r="72" spans="1:2" ht="12" customHeight="1" x14ac:dyDescent="0.25">
      <c r="A72" s="65" t="s">
        <v>189</v>
      </c>
      <c r="B72" s="68" t="s">
        <v>908</v>
      </c>
    </row>
    <row r="73" spans="1:2" ht="12" customHeight="1" x14ac:dyDescent="0.25">
      <c r="A73" s="65" t="s">
        <v>191</v>
      </c>
      <c r="B73" s="67" t="s">
        <v>190</v>
      </c>
    </row>
    <row r="74" spans="1:2" ht="12" customHeight="1" x14ac:dyDescent="0.25">
      <c r="A74" s="65" t="s">
        <v>193</v>
      </c>
      <c r="B74" s="66" t="s">
        <v>192</v>
      </c>
    </row>
    <row r="75" spans="1:2" ht="12" customHeight="1" x14ac:dyDescent="0.25">
      <c r="A75" s="65" t="s">
        <v>195</v>
      </c>
      <c r="B75" s="66" t="s">
        <v>194</v>
      </c>
    </row>
    <row r="76" spans="1:2" ht="12" customHeight="1" x14ac:dyDescent="0.25">
      <c r="A76" s="65" t="s">
        <v>197</v>
      </c>
      <c r="B76" s="66" t="s">
        <v>196</v>
      </c>
    </row>
    <row r="77" spans="1:2" ht="12" customHeight="1" x14ac:dyDescent="0.25">
      <c r="A77" s="65" t="s">
        <v>199</v>
      </c>
      <c r="B77" s="67" t="s">
        <v>198</v>
      </c>
    </row>
    <row r="78" spans="1:2" ht="12" customHeight="1" x14ac:dyDescent="0.25">
      <c r="A78" s="65" t="s">
        <v>201</v>
      </c>
      <c r="B78" s="67" t="s">
        <v>200</v>
      </c>
    </row>
    <row r="79" spans="1:2" ht="12" customHeight="1" x14ac:dyDescent="0.25">
      <c r="A79" s="65" t="s">
        <v>203</v>
      </c>
      <c r="B79" s="67" t="s">
        <v>202</v>
      </c>
    </row>
    <row r="80" spans="1:2" ht="12" customHeight="1" x14ac:dyDescent="0.25">
      <c r="A80" s="65" t="s">
        <v>205</v>
      </c>
      <c r="B80" s="66" t="s">
        <v>204</v>
      </c>
    </row>
    <row r="81" spans="1:2" ht="12" customHeight="1" x14ac:dyDescent="0.25">
      <c r="A81" s="65" t="s">
        <v>206</v>
      </c>
      <c r="B81" s="68" t="s">
        <v>909</v>
      </c>
    </row>
    <row r="82" spans="1:2" ht="12" customHeight="1" x14ac:dyDescent="0.25">
      <c r="A82" s="65" t="s">
        <v>208</v>
      </c>
      <c r="B82" s="66" t="s">
        <v>207</v>
      </c>
    </row>
    <row r="83" spans="1:2" ht="12" customHeight="1" x14ac:dyDescent="0.25">
      <c r="A83" s="65" t="s">
        <v>210</v>
      </c>
      <c r="B83" s="66" t="s">
        <v>209</v>
      </c>
    </row>
    <row r="84" spans="1:2" ht="12" customHeight="1" x14ac:dyDescent="0.25">
      <c r="A84" s="65" t="s">
        <v>212</v>
      </c>
      <c r="B84" s="66" t="s">
        <v>211</v>
      </c>
    </row>
    <row r="85" spans="1:2" ht="12" customHeight="1" x14ac:dyDescent="0.25">
      <c r="A85" s="65" t="s">
        <v>214</v>
      </c>
      <c r="B85" s="67" t="s">
        <v>213</v>
      </c>
    </row>
    <row r="86" spans="1:2" ht="12" customHeight="1" x14ac:dyDescent="0.25">
      <c r="A86" s="65" t="s">
        <v>216</v>
      </c>
      <c r="B86" s="66" t="s">
        <v>215</v>
      </c>
    </row>
    <row r="87" spans="1:2" ht="12" customHeight="1" x14ac:dyDescent="0.25">
      <c r="A87" s="65" t="s">
        <v>218</v>
      </c>
      <c r="B87" s="67" t="s">
        <v>217</v>
      </c>
    </row>
    <row r="88" spans="1:2" ht="12" customHeight="1" x14ac:dyDescent="0.25">
      <c r="A88" s="65" t="s">
        <v>220</v>
      </c>
      <c r="B88" s="66" t="s">
        <v>219</v>
      </c>
    </row>
    <row r="89" spans="1:2" ht="12" customHeight="1" x14ac:dyDescent="0.25">
      <c r="A89" s="65" t="s">
        <v>222</v>
      </c>
      <c r="B89" s="67" t="s">
        <v>221</v>
      </c>
    </row>
    <row r="90" spans="1:2" ht="12" customHeight="1" x14ac:dyDescent="0.25">
      <c r="A90" s="65" t="s">
        <v>224</v>
      </c>
      <c r="B90" s="67" t="s">
        <v>223</v>
      </c>
    </row>
    <row r="91" spans="1:2" ht="12" customHeight="1" x14ac:dyDescent="0.25">
      <c r="A91" s="65" t="s">
        <v>226</v>
      </c>
      <c r="B91" s="66" t="s">
        <v>225</v>
      </c>
    </row>
    <row r="92" spans="1:2" ht="12" customHeight="1" x14ac:dyDescent="0.25">
      <c r="A92" s="65" t="s">
        <v>228</v>
      </c>
      <c r="B92" s="67" t="s">
        <v>227</v>
      </c>
    </row>
    <row r="93" spans="1:2" ht="12" customHeight="1" x14ac:dyDescent="0.25">
      <c r="A93" s="65" t="s">
        <v>230</v>
      </c>
      <c r="B93" s="66" t="s">
        <v>229</v>
      </c>
    </row>
    <row r="94" spans="1:2" ht="12" customHeight="1" x14ac:dyDescent="0.25">
      <c r="A94" s="65" t="s">
        <v>232</v>
      </c>
      <c r="B94" s="66" t="s">
        <v>231</v>
      </c>
    </row>
    <row r="95" spans="1:2" ht="12" customHeight="1" x14ac:dyDescent="0.25">
      <c r="A95" s="65" t="s">
        <v>234</v>
      </c>
      <c r="B95" s="66" t="s">
        <v>233</v>
      </c>
    </row>
    <row r="96" spans="1:2" ht="12" customHeight="1" x14ac:dyDescent="0.25">
      <c r="A96" s="65" t="s">
        <v>236</v>
      </c>
      <c r="B96" s="66" t="s">
        <v>235</v>
      </c>
    </row>
    <row r="97" spans="1:2" ht="12" customHeight="1" x14ac:dyDescent="0.25">
      <c r="A97" s="65" t="s">
        <v>237</v>
      </c>
      <c r="B97" s="68" t="s">
        <v>910</v>
      </c>
    </row>
    <row r="98" spans="1:2" ht="12" customHeight="1" x14ac:dyDescent="0.25">
      <c r="A98" s="65" t="s">
        <v>240</v>
      </c>
      <c r="B98" s="66" t="s">
        <v>239</v>
      </c>
    </row>
    <row r="99" spans="1:2" ht="12" customHeight="1" x14ac:dyDescent="0.25">
      <c r="A99" s="65" t="s">
        <v>242</v>
      </c>
      <c r="B99" s="67" t="s">
        <v>241</v>
      </c>
    </row>
    <row r="100" spans="1:2" ht="12" customHeight="1" x14ac:dyDescent="0.25">
      <c r="A100" s="65" t="s">
        <v>244</v>
      </c>
      <c r="B100" s="66" t="s">
        <v>243</v>
      </c>
    </row>
    <row r="101" spans="1:2" ht="12" customHeight="1" x14ac:dyDescent="0.25">
      <c r="A101" s="65" t="s">
        <v>246</v>
      </c>
      <c r="B101" s="66" t="s">
        <v>245</v>
      </c>
    </row>
    <row r="102" spans="1:2" ht="12" customHeight="1" x14ac:dyDescent="0.25">
      <c r="A102" s="65" t="s">
        <v>248</v>
      </c>
      <c r="B102" s="66" t="s">
        <v>247</v>
      </c>
    </row>
    <row r="103" spans="1:2" ht="12" customHeight="1" x14ac:dyDescent="0.25">
      <c r="A103" s="65" t="s">
        <v>250</v>
      </c>
      <c r="B103" s="66" t="s">
        <v>249</v>
      </c>
    </row>
    <row r="104" spans="1:2" ht="12" customHeight="1" x14ac:dyDescent="0.25">
      <c r="A104" s="65" t="s">
        <v>253</v>
      </c>
      <c r="B104" s="66" t="s">
        <v>252</v>
      </c>
    </row>
    <row r="105" spans="1:2" ht="12" customHeight="1" x14ac:dyDescent="0.25">
      <c r="A105" s="65" t="s">
        <v>255</v>
      </c>
      <c r="B105" s="66" t="s">
        <v>254</v>
      </c>
    </row>
    <row r="106" spans="1:2" ht="12" customHeight="1" x14ac:dyDescent="0.25">
      <c r="A106" s="65" t="s">
        <v>251</v>
      </c>
      <c r="B106" s="66" t="s">
        <v>775</v>
      </c>
    </row>
    <row r="107" spans="1:2" ht="12" customHeight="1" x14ac:dyDescent="0.25">
      <c r="A107" s="65" t="s">
        <v>257</v>
      </c>
      <c r="B107" s="67" t="s">
        <v>256</v>
      </c>
    </row>
    <row r="108" spans="1:2" ht="12" customHeight="1" x14ac:dyDescent="0.25">
      <c r="A108" s="65" t="s">
        <v>259</v>
      </c>
      <c r="B108" s="66" t="s">
        <v>258</v>
      </c>
    </row>
    <row r="109" spans="1:2" ht="12" customHeight="1" x14ac:dyDescent="0.25">
      <c r="A109" s="65" t="s">
        <v>261</v>
      </c>
      <c r="B109" s="66" t="s">
        <v>260</v>
      </c>
    </row>
    <row r="110" spans="1:2" ht="12" customHeight="1" x14ac:dyDescent="0.25">
      <c r="A110" s="65" t="s">
        <v>157</v>
      </c>
      <c r="B110" s="68" t="s">
        <v>906</v>
      </c>
    </row>
    <row r="111" spans="1:2" ht="12" customHeight="1" x14ac:dyDescent="0.25">
      <c r="A111" s="65" t="s">
        <v>263</v>
      </c>
      <c r="B111" s="66" t="s">
        <v>262</v>
      </c>
    </row>
    <row r="112" spans="1:2" ht="12" customHeight="1" x14ac:dyDescent="0.25">
      <c r="A112" s="65" t="s">
        <v>266</v>
      </c>
      <c r="B112" s="66" t="s">
        <v>265</v>
      </c>
    </row>
    <row r="113" spans="1:2" ht="12" customHeight="1" x14ac:dyDescent="0.25">
      <c r="A113" s="65" t="s">
        <v>268</v>
      </c>
      <c r="B113" s="67" t="s">
        <v>267</v>
      </c>
    </row>
    <row r="114" spans="1:2" ht="12" customHeight="1" x14ac:dyDescent="0.25">
      <c r="A114" s="65" t="s">
        <v>270</v>
      </c>
      <c r="B114" s="66" t="s">
        <v>269</v>
      </c>
    </row>
    <row r="115" spans="1:2" ht="12" customHeight="1" x14ac:dyDescent="0.25">
      <c r="A115" s="65" t="s">
        <v>272</v>
      </c>
      <c r="B115" s="66" t="s">
        <v>271</v>
      </c>
    </row>
    <row r="116" spans="1:2" ht="12" customHeight="1" x14ac:dyDescent="0.25">
      <c r="A116" s="65" t="s">
        <v>274</v>
      </c>
      <c r="B116" s="66" t="s">
        <v>273</v>
      </c>
    </row>
    <row r="117" spans="1:2" ht="12" customHeight="1" x14ac:dyDescent="0.25">
      <c r="A117" s="65" t="s">
        <v>276</v>
      </c>
      <c r="B117" s="66" t="s">
        <v>275</v>
      </c>
    </row>
    <row r="118" spans="1:2" ht="12" customHeight="1" x14ac:dyDescent="0.25">
      <c r="A118" s="65" t="s">
        <v>277</v>
      </c>
      <c r="B118" s="66" t="s">
        <v>911</v>
      </c>
    </row>
    <row r="119" spans="1:2" ht="12" customHeight="1" x14ac:dyDescent="0.25">
      <c r="A119" s="65" t="s">
        <v>278</v>
      </c>
      <c r="B119" s="66" t="s">
        <v>919</v>
      </c>
    </row>
    <row r="120" spans="1:2" ht="12" customHeight="1" x14ac:dyDescent="0.25">
      <c r="A120" s="65" t="s">
        <v>280</v>
      </c>
      <c r="B120" s="67" t="s">
        <v>279</v>
      </c>
    </row>
    <row r="121" spans="1:2" ht="12" customHeight="1" x14ac:dyDescent="0.25">
      <c r="A121" s="65" t="s">
        <v>282</v>
      </c>
      <c r="B121" s="66" t="s">
        <v>281</v>
      </c>
    </row>
    <row r="122" spans="1:2" ht="12" customHeight="1" x14ac:dyDescent="0.25">
      <c r="A122" s="65" t="s">
        <v>284</v>
      </c>
      <c r="B122" s="66" t="s">
        <v>283</v>
      </c>
    </row>
    <row r="123" spans="1:2" ht="12" customHeight="1" x14ac:dyDescent="0.25">
      <c r="A123" s="65" t="s">
        <v>286</v>
      </c>
      <c r="B123" s="68" t="s">
        <v>912</v>
      </c>
    </row>
    <row r="124" spans="1:2" ht="12" customHeight="1" x14ac:dyDescent="0.25">
      <c r="A124" s="65" t="s">
        <v>288</v>
      </c>
      <c r="B124" s="66" t="s">
        <v>287</v>
      </c>
    </row>
    <row r="125" spans="1:2" ht="12" customHeight="1" x14ac:dyDescent="0.25">
      <c r="A125" s="65" t="s">
        <v>290</v>
      </c>
      <c r="B125" s="66" t="s">
        <v>289</v>
      </c>
    </row>
    <row r="126" spans="1:2" ht="12" customHeight="1" x14ac:dyDescent="0.25">
      <c r="A126" s="65" t="s">
        <v>292</v>
      </c>
      <c r="B126" s="66" t="s">
        <v>291</v>
      </c>
    </row>
    <row r="127" spans="1:2" ht="12" customHeight="1" x14ac:dyDescent="0.25">
      <c r="A127" s="65" t="s">
        <v>294</v>
      </c>
      <c r="B127" s="66" t="s">
        <v>293</v>
      </c>
    </row>
    <row r="128" spans="1:2" ht="12" customHeight="1" x14ac:dyDescent="0.25">
      <c r="A128" s="65" t="s">
        <v>296</v>
      </c>
      <c r="B128" s="66" t="s">
        <v>295</v>
      </c>
    </row>
    <row r="129" spans="1:2" ht="12" customHeight="1" x14ac:dyDescent="0.25">
      <c r="A129" s="65" t="s">
        <v>298</v>
      </c>
      <c r="B129" s="66" t="s">
        <v>297</v>
      </c>
    </row>
    <row r="130" spans="1:2" ht="12" customHeight="1" x14ac:dyDescent="0.25">
      <c r="A130" s="65" t="s">
        <v>300</v>
      </c>
      <c r="B130" s="66" t="s">
        <v>299</v>
      </c>
    </row>
    <row r="131" spans="1:2" ht="12" customHeight="1" x14ac:dyDescent="0.25">
      <c r="A131" s="65" t="s">
        <v>302</v>
      </c>
      <c r="B131" s="66" t="s">
        <v>301</v>
      </c>
    </row>
    <row r="132" spans="1:2" ht="12" customHeight="1" x14ac:dyDescent="0.25">
      <c r="A132" s="65" t="s">
        <v>304</v>
      </c>
      <c r="B132" s="68" t="s">
        <v>303</v>
      </c>
    </row>
    <row r="133" spans="1:2" ht="12" customHeight="1" x14ac:dyDescent="0.25">
      <c r="A133" s="65" t="s">
        <v>305</v>
      </c>
      <c r="B133" s="66" t="s">
        <v>828</v>
      </c>
    </row>
    <row r="134" spans="1:2" ht="12" customHeight="1" x14ac:dyDescent="0.25">
      <c r="A134" s="65" t="s">
        <v>307</v>
      </c>
      <c r="B134" s="66" t="s">
        <v>306</v>
      </c>
    </row>
    <row r="135" spans="1:2" ht="12" customHeight="1" x14ac:dyDescent="0.25">
      <c r="A135" s="65" t="s">
        <v>309</v>
      </c>
      <c r="B135" s="66" t="s">
        <v>308</v>
      </c>
    </row>
    <row r="136" spans="1:2" ht="12" customHeight="1" x14ac:dyDescent="0.25">
      <c r="A136" s="65" t="s">
        <v>311</v>
      </c>
      <c r="B136" s="66" t="s">
        <v>310</v>
      </c>
    </row>
    <row r="137" spans="1:2" ht="12" customHeight="1" x14ac:dyDescent="0.25">
      <c r="A137" s="65" t="s">
        <v>313</v>
      </c>
      <c r="B137" s="66" t="s">
        <v>312</v>
      </c>
    </row>
    <row r="138" spans="1:2" ht="12" customHeight="1" x14ac:dyDescent="0.25">
      <c r="A138" s="65" t="s">
        <v>315</v>
      </c>
      <c r="B138" s="66" t="s">
        <v>314</v>
      </c>
    </row>
    <row r="139" spans="1:2" ht="12" customHeight="1" x14ac:dyDescent="0.25">
      <c r="A139" s="65" t="s">
        <v>317</v>
      </c>
      <c r="B139" s="66" t="s">
        <v>316</v>
      </c>
    </row>
    <row r="140" spans="1:2" ht="12" customHeight="1" x14ac:dyDescent="0.25">
      <c r="A140" s="65" t="s">
        <v>319</v>
      </c>
      <c r="B140" s="66" t="s">
        <v>318</v>
      </c>
    </row>
    <row r="141" spans="1:2" ht="12" customHeight="1" x14ac:dyDescent="0.25">
      <c r="A141" s="65" t="s">
        <v>321</v>
      </c>
      <c r="B141" s="67" t="s">
        <v>320</v>
      </c>
    </row>
    <row r="142" spans="1:2" ht="12" customHeight="1" x14ac:dyDescent="0.25">
      <c r="A142" s="65" t="s">
        <v>323</v>
      </c>
      <c r="B142" s="66" t="s">
        <v>322</v>
      </c>
    </row>
    <row r="143" spans="1:2" ht="12" customHeight="1" x14ac:dyDescent="0.25">
      <c r="A143" s="65" t="s">
        <v>325</v>
      </c>
      <c r="B143" s="66" t="s">
        <v>324</v>
      </c>
    </row>
    <row r="144" spans="1:2" ht="12" customHeight="1" x14ac:dyDescent="0.25">
      <c r="A144" s="65" t="s">
        <v>327</v>
      </c>
      <c r="B144" s="67" t="s">
        <v>326</v>
      </c>
    </row>
    <row r="145" spans="1:2" ht="12" customHeight="1" x14ac:dyDescent="0.25">
      <c r="A145" s="65" t="s">
        <v>329</v>
      </c>
      <c r="B145" s="66" t="s">
        <v>328</v>
      </c>
    </row>
    <row r="146" spans="1:2" ht="12" customHeight="1" x14ac:dyDescent="0.25">
      <c r="A146" s="65" t="s">
        <v>331</v>
      </c>
      <c r="B146" s="68" t="s">
        <v>330</v>
      </c>
    </row>
    <row r="147" spans="1:2" ht="12" customHeight="1" x14ac:dyDescent="0.25">
      <c r="A147" s="65" t="s">
        <v>333</v>
      </c>
      <c r="B147" s="68" t="s">
        <v>913</v>
      </c>
    </row>
    <row r="148" spans="1:2" ht="12" customHeight="1" x14ac:dyDescent="0.25">
      <c r="A148" s="65" t="s">
        <v>335</v>
      </c>
      <c r="B148" s="66" t="s">
        <v>334</v>
      </c>
    </row>
    <row r="149" spans="1:2" ht="12" customHeight="1" x14ac:dyDescent="0.25">
      <c r="A149" s="65" t="s">
        <v>337</v>
      </c>
      <c r="B149" s="66" t="s">
        <v>336</v>
      </c>
    </row>
    <row r="150" spans="1:2" ht="12" customHeight="1" x14ac:dyDescent="0.25">
      <c r="A150" s="65" t="s">
        <v>341</v>
      </c>
      <c r="B150" s="68" t="s">
        <v>340</v>
      </c>
    </row>
    <row r="151" spans="1:2" ht="12" customHeight="1" x14ac:dyDescent="0.25">
      <c r="A151" s="65" t="s">
        <v>339</v>
      </c>
      <c r="B151" s="66" t="s">
        <v>338</v>
      </c>
    </row>
    <row r="152" spans="1:2" ht="12" customHeight="1" x14ac:dyDescent="0.25">
      <c r="A152" s="65" t="s">
        <v>343</v>
      </c>
      <c r="B152" s="66" t="s">
        <v>342</v>
      </c>
    </row>
    <row r="153" spans="1:2" ht="12" customHeight="1" x14ac:dyDescent="0.25">
      <c r="A153" s="65" t="s">
        <v>345</v>
      </c>
      <c r="B153" s="66" t="s">
        <v>344</v>
      </c>
    </row>
    <row r="154" spans="1:2" ht="12" customHeight="1" x14ac:dyDescent="0.25">
      <c r="A154" s="65" t="s">
        <v>120</v>
      </c>
      <c r="B154" s="68" t="s">
        <v>933</v>
      </c>
    </row>
    <row r="155" spans="1:2" ht="12" customHeight="1" x14ac:dyDescent="0.25">
      <c r="A155" s="65" t="s">
        <v>347</v>
      </c>
      <c r="B155" s="66" t="s">
        <v>346</v>
      </c>
    </row>
    <row r="156" spans="1:2" ht="12" customHeight="1" x14ac:dyDescent="0.25">
      <c r="A156" s="65" t="s">
        <v>349</v>
      </c>
      <c r="B156" s="66" t="s">
        <v>348</v>
      </c>
    </row>
    <row r="157" spans="1:2" ht="12" customHeight="1" x14ac:dyDescent="0.25">
      <c r="A157" s="65" t="s">
        <v>351</v>
      </c>
      <c r="B157" s="66" t="s">
        <v>350</v>
      </c>
    </row>
    <row r="158" spans="1:2" ht="12" customHeight="1" x14ac:dyDescent="0.25">
      <c r="A158" s="65" t="s">
        <v>353</v>
      </c>
      <c r="B158" s="66" t="s">
        <v>352</v>
      </c>
    </row>
    <row r="159" spans="1:2" ht="12" customHeight="1" x14ac:dyDescent="0.25">
      <c r="A159" s="65" t="s">
        <v>355</v>
      </c>
      <c r="B159" s="67" t="s">
        <v>354</v>
      </c>
    </row>
    <row r="160" spans="1:2" ht="12" customHeight="1" x14ac:dyDescent="0.25">
      <c r="A160" s="65" t="s">
        <v>357</v>
      </c>
      <c r="B160" s="66" t="s">
        <v>356</v>
      </c>
    </row>
    <row r="161" spans="1:2" ht="12" customHeight="1" x14ac:dyDescent="0.25">
      <c r="A161" s="65" t="s">
        <v>359</v>
      </c>
      <c r="B161" s="66" t="s">
        <v>358</v>
      </c>
    </row>
    <row r="162" spans="1:2" ht="12" customHeight="1" x14ac:dyDescent="0.25">
      <c r="A162" s="65" t="s">
        <v>361</v>
      </c>
      <c r="B162" s="66" t="s">
        <v>360</v>
      </c>
    </row>
    <row r="163" spans="1:2" ht="12" customHeight="1" x14ac:dyDescent="0.25">
      <c r="A163" s="65" t="s">
        <v>363</v>
      </c>
      <c r="B163" s="66" t="s">
        <v>362</v>
      </c>
    </row>
    <row r="164" spans="1:2" ht="12" customHeight="1" x14ac:dyDescent="0.25">
      <c r="A164" s="65" t="s">
        <v>365</v>
      </c>
      <c r="B164" s="67" t="s">
        <v>364</v>
      </c>
    </row>
    <row r="165" spans="1:2" ht="12" customHeight="1" x14ac:dyDescent="0.25">
      <c r="A165" s="65" t="s">
        <v>367</v>
      </c>
      <c r="B165" s="67" t="s">
        <v>366</v>
      </c>
    </row>
    <row r="166" spans="1:2" ht="12" customHeight="1" x14ac:dyDescent="0.25">
      <c r="A166" s="65" t="s">
        <v>369</v>
      </c>
      <c r="B166" s="67" t="s">
        <v>368</v>
      </c>
    </row>
    <row r="167" spans="1:2" ht="12" customHeight="1" x14ac:dyDescent="0.25">
      <c r="A167" s="65" t="s">
        <v>371</v>
      </c>
      <c r="B167" s="66" t="s">
        <v>370</v>
      </c>
    </row>
    <row r="168" spans="1:2" ht="12" customHeight="1" x14ac:dyDescent="0.25">
      <c r="A168" s="65" t="s">
        <v>373</v>
      </c>
      <c r="B168" s="66" t="s">
        <v>372</v>
      </c>
    </row>
    <row r="169" spans="1:2" ht="12" customHeight="1" x14ac:dyDescent="0.25">
      <c r="A169" s="65" t="s">
        <v>375</v>
      </c>
      <c r="B169" s="66" t="s">
        <v>374</v>
      </c>
    </row>
    <row r="170" spans="1:2" ht="12" customHeight="1" x14ac:dyDescent="0.25">
      <c r="A170" s="65" t="s">
        <v>377</v>
      </c>
      <c r="B170" s="66" t="s">
        <v>376</v>
      </c>
    </row>
    <row r="171" spans="1:2" ht="12" customHeight="1" x14ac:dyDescent="0.25">
      <c r="A171" s="65" t="s">
        <v>378</v>
      </c>
      <c r="B171" s="68" t="s">
        <v>934</v>
      </c>
    </row>
    <row r="172" spans="1:2" ht="12" customHeight="1" x14ac:dyDescent="0.25">
      <c r="A172" s="65" t="s">
        <v>380</v>
      </c>
      <c r="B172" s="66" t="s">
        <v>379</v>
      </c>
    </row>
    <row r="173" spans="1:2" ht="12" customHeight="1" x14ac:dyDescent="0.25">
      <c r="A173" s="65" t="s">
        <v>382</v>
      </c>
      <c r="B173" s="66" t="s">
        <v>381</v>
      </c>
    </row>
    <row r="174" spans="1:2" ht="12" customHeight="1" x14ac:dyDescent="0.25">
      <c r="A174" s="65" t="s">
        <v>384</v>
      </c>
      <c r="B174" s="66" t="s">
        <v>383</v>
      </c>
    </row>
    <row r="175" spans="1:2" ht="12" customHeight="1" x14ac:dyDescent="0.25">
      <c r="A175" s="65" t="s">
        <v>386</v>
      </c>
      <c r="B175" s="66" t="s">
        <v>385</v>
      </c>
    </row>
    <row r="176" spans="1:2" ht="12" customHeight="1" x14ac:dyDescent="0.25">
      <c r="A176" s="65" t="s">
        <v>388</v>
      </c>
      <c r="B176" s="66" t="s">
        <v>387</v>
      </c>
    </row>
    <row r="177" spans="1:2" ht="12" customHeight="1" x14ac:dyDescent="0.25">
      <c r="A177" s="65" t="s">
        <v>389</v>
      </c>
      <c r="B177" s="68" t="s">
        <v>914</v>
      </c>
    </row>
    <row r="178" spans="1:2" ht="12" customHeight="1" x14ac:dyDescent="0.25">
      <c r="A178" s="65" t="s">
        <v>391</v>
      </c>
      <c r="B178" s="66" t="s">
        <v>390</v>
      </c>
    </row>
    <row r="179" spans="1:2" ht="12" customHeight="1" x14ac:dyDescent="0.25">
      <c r="A179" s="65" t="s">
        <v>393</v>
      </c>
      <c r="B179" s="66" t="s">
        <v>392</v>
      </c>
    </row>
    <row r="180" spans="1:2" ht="12" customHeight="1" x14ac:dyDescent="0.25">
      <c r="A180" s="65" t="s">
        <v>395</v>
      </c>
      <c r="B180" s="67" t="s">
        <v>394</v>
      </c>
    </row>
    <row r="181" spans="1:2" ht="12" customHeight="1" x14ac:dyDescent="0.25">
      <c r="A181" s="65" t="s">
        <v>397</v>
      </c>
      <c r="B181" s="66" t="s">
        <v>396</v>
      </c>
    </row>
    <row r="182" spans="1:2" ht="12" customHeight="1" x14ac:dyDescent="0.25">
      <c r="A182" s="65" t="s">
        <v>399</v>
      </c>
      <c r="B182" s="67" t="s">
        <v>398</v>
      </c>
    </row>
    <row r="183" spans="1:2" ht="12" customHeight="1" x14ac:dyDescent="0.25">
      <c r="A183" s="65" t="s">
        <v>401</v>
      </c>
      <c r="B183" s="66" t="s">
        <v>400</v>
      </c>
    </row>
    <row r="184" spans="1:2" ht="12" customHeight="1" x14ac:dyDescent="0.25">
      <c r="A184" s="65" t="s">
        <v>403</v>
      </c>
      <c r="B184" s="68" t="s">
        <v>402</v>
      </c>
    </row>
    <row r="185" spans="1:2" ht="12" customHeight="1" x14ac:dyDescent="0.25">
      <c r="A185" s="65" t="s">
        <v>405</v>
      </c>
      <c r="B185" s="66" t="s">
        <v>404</v>
      </c>
    </row>
    <row r="186" spans="1:2" ht="12" customHeight="1" x14ac:dyDescent="0.25">
      <c r="A186" s="65" t="s">
        <v>407</v>
      </c>
      <c r="B186" s="68" t="s">
        <v>406</v>
      </c>
    </row>
    <row r="187" spans="1:2" ht="12" customHeight="1" x14ac:dyDescent="0.25">
      <c r="A187" s="65" t="s">
        <v>411</v>
      </c>
      <c r="B187" s="66" t="s">
        <v>410</v>
      </c>
    </row>
    <row r="188" spans="1:2" ht="12" customHeight="1" x14ac:dyDescent="0.25">
      <c r="A188" s="65" t="s">
        <v>413</v>
      </c>
      <c r="B188" s="68" t="s">
        <v>412</v>
      </c>
    </row>
    <row r="189" spans="1:2" ht="12" customHeight="1" x14ac:dyDescent="0.25">
      <c r="A189" s="65" t="s">
        <v>418</v>
      </c>
      <c r="B189" s="66" t="s">
        <v>417</v>
      </c>
    </row>
    <row r="190" spans="1:2" ht="12" customHeight="1" x14ac:dyDescent="0.25">
      <c r="A190" s="65" t="s">
        <v>420</v>
      </c>
      <c r="B190" s="66" t="s">
        <v>419</v>
      </c>
    </row>
    <row r="191" spans="1:2" ht="12" customHeight="1" x14ac:dyDescent="0.25">
      <c r="A191" s="65" t="s">
        <v>421</v>
      </c>
      <c r="B191" s="68" t="s">
        <v>918</v>
      </c>
    </row>
    <row r="192" spans="1:2" ht="12" customHeight="1" x14ac:dyDescent="0.25">
      <c r="A192" s="65" t="s">
        <v>423</v>
      </c>
      <c r="B192" s="66" t="s">
        <v>422</v>
      </c>
    </row>
    <row r="193" spans="1:2" ht="12" customHeight="1" x14ac:dyDescent="0.25">
      <c r="A193" s="65" t="s">
        <v>425</v>
      </c>
      <c r="B193" s="66" t="s">
        <v>424</v>
      </c>
    </row>
    <row r="194" spans="1:2" ht="12" customHeight="1" x14ac:dyDescent="0.25">
      <c r="A194" s="65" t="s">
        <v>427</v>
      </c>
      <c r="B194" s="66" t="s">
        <v>426</v>
      </c>
    </row>
    <row r="195" spans="1:2" ht="12" customHeight="1" x14ac:dyDescent="0.25">
      <c r="A195" s="65" t="s">
        <v>429</v>
      </c>
      <c r="B195" s="66" t="s">
        <v>428</v>
      </c>
    </row>
    <row r="196" spans="1:2" ht="12" customHeight="1" x14ac:dyDescent="0.25">
      <c r="A196" s="65" t="s">
        <v>431</v>
      </c>
      <c r="B196" s="66" t="s">
        <v>430</v>
      </c>
    </row>
    <row r="197" spans="1:2" ht="12" customHeight="1" x14ac:dyDescent="0.25">
      <c r="A197" s="65" t="s">
        <v>433</v>
      </c>
      <c r="B197" s="66" t="s">
        <v>432</v>
      </c>
    </row>
    <row r="198" spans="1:2" ht="12" customHeight="1" x14ac:dyDescent="0.25">
      <c r="A198" s="65" t="s">
        <v>435</v>
      </c>
      <c r="B198" s="67" t="s">
        <v>434</v>
      </c>
    </row>
    <row r="199" spans="1:2" ht="12" customHeight="1" x14ac:dyDescent="0.25">
      <c r="A199" s="65" t="s">
        <v>437</v>
      </c>
      <c r="B199" s="66" t="s">
        <v>436</v>
      </c>
    </row>
    <row r="200" spans="1:2" ht="12" customHeight="1" x14ac:dyDescent="0.25">
      <c r="A200" s="65" t="s">
        <v>439</v>
      </c>
      <c r="B200" s="66" t="s">
        <v>438</v>
      </c>
    </row>
    <row r="201" spans="1:2" ht="12" customHeight="1" x14ac:dyDescent="0.25">
      <c r="A201" s="65" t="s">
        <v>441</v>
      </c>
      <c r="B201" s="66" t="s">
        <v>440</v>
      </c>
    </row>
    <row r="202" spans="1:2" ht="12" customHeight="1" x14ac:dyDescent="0.25">
      <c r="A202" s="65" t="s">
        <v>442</v>
      </c>
      <c r="B202" s="68" t="s">
        <v>21</v>
      </c>
    </row>
    <row r="203" spans="1:2" ht="12" customHeight="1" x14ac:dyDescent="0.25">
      <c r="A203" s="65" t="s">
        <v>444</v>
      </c>
      <c r="B203" s="66" t="s">
        <v>443</v>
      </c>
    </row>
    <row r="204" spans="1:2" ht="12" customHeight="1" x14ac:dyDescent="0.25">
      <c r="A204" s="65" t="s">
        <v>446</v>
      </c>
      <c r="B204" s="68" t="s">
        <v>445</v>
      </c>
    </row>
    <row r="205" spans="1:2" ht="12" customHeight="1" x14ac:dyDescent="0.25">
      <c r="A205" s="65" t="s">
        <v>448</v>
      </c>
      <c r="B205" s="66" t="s">
        <v>447</v>
      </c>
    </row>
    <row r="206" spans="1:2" ht="12" customHeight="1" x14ac:dyDescent="0.25">
      <c r="A206" s="65" t="s">
        <v>450</v>
      </c>
      <c r="B206" s="66" t="s">
        <v>449</v>
      </c>
    </row>
    <row r="207" spans="1:2" ht="12" customHeight="1" x14ac:dyDescent="0.25">
      <c r="A207" s="65" t="s">
        <v>452</v>
      </c>
      <c r="B207" s="66" t="s">
        <v>451</v>
      </c>
    </row>
    <row r="208" spans="1:2" ht="12" customHeight="1" x14ac:dyDescent="0.25">
      <c r="A208" s="65" t="s">
        <v>76</v>
      </c>
      <c r="B208" s="67" t="s">
        <v>915</v>
      </c>
    </row>
    <row r="209" spans="1:2" ht="12" customHeight="1" x14ac:dyDescent="0.25">
      <c r="A209" s="65" t="s">
        <v>409</v>
      </c>
      <c r="B209" s="66" t="s">
        <v>847</v>
      </c>
    </row>
    <row r="210" spans="1:2" ht="12" customHeight="1" x14ac:dyDescent="0.25">
      <c r="A210" s="65" t="s">
        <v>414</v>
      </c>
      <c r="B210" s="68" t="s">
        <v>916</v>
      </c>
    </row>
    <row r="211" spans="1:2" ht="12" customHeight="1" x14ac:dyDescent="0.25">
      <c r="A211" s="65" t="s">
        <v>416</v>
      </c>
      <c r="B211" s="68" t="s">
        <v>917</v>
      </c>
    </row>
    <row r="212" spans="1:2" ht="12" customHeight="1" x14ac:dyDescent="0.25">
      <c r="A212" s="65" t="s">
        <v>453</v>
      </c>
      <c r="B212" s="66" t="s">
        <v>19</v>
      </c>
    </row>
    <row r="213" spans="1:2" ht="12" customHeight="1" x14ac:dyDescent="0.25">
      <c r="A213" s="65" t="s">
        <v>455</v>
      </c>
      <c r="B213" s="66" t="s">
        <v>454</v>
      </c>
    </row>
    <row r="214" spans="1:2" ht="12" customHeight="1" x14ac:dyDescent="0.25">
      <c r="A214" s="65" t="s">
        <v>264</v>
      </c>
      <c r="B214" s="68" t="s">
        <v>920</v>
      </c>
    </row>
    <row r="215" spans="1:2" ht="12" customHeight="1" x14ac:dyDescent="0.25">
      <c r="A215" s="65" t="s">
        <v>186</v>
      </c>
      <c r="B215" s="68" t="s">
        <v>907</v>
      </c>
    </row>
    <row r="216" spans="1:2" ht="12" customHeight="1" x14ac:dyDescent="0.25">
      <c r="A216" s="65" t="s">
        <v>457</v>
      </c>
      <c r="B216" s="66" t="s">
        <v>456</v>
      </c>
    </row>
    <row r="217" spans="1:2" ht="12" customHeight="1" x14ac:dyDescent="0.25">
      <c r="A217" s="65" t="s">
        <v>459</v>
      </c>
      <c r="B217" s="66" t="s">
        <v>458</v>
      </c>
    </row>
    <row r="218" spans="1:2" ht="12" customHeight="1" x14ac:dyDescent="0.25">
      <c r="A218" s="65" t="s">
        <v>460</v>
      </c>
      <c r="B218" s="68" t="s">
        <v>935</v>
      </c>
    </row>
    <row r="219" spans="1:2" ht="12" customHeight="1" x14ac:dyDescent="0.25">
      <c r="A219" s="65" t="s">
        <v>461</v>
      </c>
      <c r="B219" s="68" t="s">
        <v>921</v>
      </c>
    </row>
    <row r="220" spans="1:2" ht="12" customHeight="1" x14ac:dyDescent="0.25">
      <c r="A220" s="65" t="s">
        <v>463</v>
      </c>
      <c r="B220" s="66" t="s">
        <v>462</v>
      </c>
    </row>
    <row r="221" spans="1:2" ht="12" customHeight="1" x14ac:dyDescent="0.25">
      <c r="A221" s="65" t="s">
        <v>464</v>
      </c>
      <c r="B221" s="66" t="s">
        <v>877</v>
      </c>
    </row>
    <row r="222" spans="1:2" ht="12" customHeight="1" x14ac:dyDescent="0.25">
      <c r="A222" s="65" t="s">
        <v>466</v>
      </c>
      <c r="B222" s="66" t="s">
        <v>465</v>
      </c>
    </row>
    <row r="223" spans="1:2" ht="12" customHeight="1" x14ac:dyDescent="0.25">
      <c r="A223" s="65" t="s">
        <v>469</v>
      </c>
      <c r="B223" s="66" t="s">
        <v>468</v>
      </c>
    </row>
    <row r="224" spans="1:2" ht="12" customHeight="1" x14ac:dyDescent="0.25">
      <c r="A224" s="65" t="s">
        <v>471</v>
      </c>
      <c r="B224" s="67" t="s">
        <v>470</v>
      </c>
    </row>
    <row r="225" spans="1:2" ht="12" customHeight="1" x14ac:dyDescent="0.25">
      <c r="A225" s="65" t="s">
        <v>473</v>
      </c>
      <c r="B225" s="66" t="s">
        <v>472</v>
      </c>
    </row>
    <row r="226" spans="1:2" ht="12" customHeight="1" x14ac:dyDescent="0.25">
      <c r="A226" s="65" t="s">
        <v>475</v>
      </c>
      <c r="B226" s="68" t="s">
        <v>922</v>
      </c>
    </row>
    <row r="227" spans="1:2" ht="12" customHeight="1" x14ac:dyDescent="0.25">
      <c r="A227" s="65" t="s">
        <v>477</v>
      </c>
      <c r="B227" s="66" t="s">
        <v>476</v>
      </c>
    </row>
    <row r="228" spans="1:2" ht="12" customHeight="1" x14ac:dyDescent="0.25">
      <c r="A228" s="65" t="s">
        <v>479</v>
      </c>
      <c r="B228" s="66" t="s">
        <v>478</v>
      </c>
    </row>
    <row r="229" spans="1:2" ht="12" customHeight="1" x14ac:dyDescent="0.25">
      <c r="A229" s="65" t="s">
        <v>481</v>
      </c>
      <c r="B229" s="66" t="s">
        <v>480</v>
      </c>
    </row>
    <row r="230" spans="1:2" ht="12" customHeight="1" x14ac:dyDescent="0.25">
      <c r="A230" s="65" t="s">
        <v>482</v>
      </c>
      <c r="B230" s="68" t="s">
        <v>923</v>
      </c>
    </row>
    <row r="231" spans="1:2" ht="12" customHeight="1" x14ac:dyDescent="0.25">
      <c r="A231" s="65" t="s">
        <v>484</v>
      </c>
      <c r="B231" s="66" t="s">
        <v>483</v>
      </c>
    </row>
    <row r="232" spans="1:2" ht="12" customHeight="1" x14ac:dyDescent="0.25">
      <c r="A232" s="65" t="s">
        <v>86</v>
      </c>
      <c r="B232" s="67" t="s">
        <v>1025</v>
      </c>
    </row>
    <row r="233" spans="1:2" ht="12" customHeight="1" x14ac:dyDescent="0.25">
      <c r="A233" s="65" t="s">
        <v>505</v>
      </c>
      <c r="B233" s="66" t="s">
        <v>1026</v>
      </c>
    </row>
    <row r="234" spans="1:2" ht="12" customHeight="1" x14ac:dyDescent="0.25">
      <c r="A234" s="65" t="s">
        <v>486</v>
      </c>
      <c r="B234" s="66" t="s">
        <v>485</v>
      </c>
    </row>
    <row r="235" spans="1:2" ht="12" customHeight="1" x14ac:dyDescent="0.25">
      <c r="A235" s="65" t="s">
        <v>488</v>
      </c>
      <c r="B235" s="66" t="s">
        <v>487</v>
      </c>
    </row>
    <row r="236" spans="1:2" ht="12" customHeight="1" x14ac:dyDescent="0.25">
      <c r="A236" s="65" t="s">
        <v>490</v>
      </c>
      <c r="B236" s="66" t="s">
        <v>489</v>
      </c>
    </row>
    <row r="237" spans="1:2" ht="12" customHeight="1" x14ac:dyDescent="0.25">
      <c r="A237" s="65" t="s">
        <v>492</v>
      </c>
      <c r="B237" s="66" t="s">
        <v>491</v>
      </c>
    </row>
    <row r="238" spans="1:2" ht="12" customHeight="1" x14ac:dyDescent="0.25">
      <c r="A238" s="65" t="s">
        <v>493</v>
      </c>
      <c r="B238" s="67" t="s">
        <v>893</v>
      </c>
    </row>
    <row r="239" spans="1:2" ht="12" customHeight="1" x14ac:dyDescent="0.25">
      <c r="A239" s="65" t="s">
        <v>495</v>
      </c>
      <c r="B239" s="66" t="s">
        <v>494</v>
      </c>
    </row>
    <row r="240" spans="1:2" ht="12" customHeight="1" x14ac:dyDescent="0.25">
      <c r="A240" s="65" t="s">
        <v>497</v>
      </c>
      <c r="B240" s="66" t="s">
        <v>496</v>
      </c>
    </row>
    <row r="241" spans="1:2" ht="12" customHeight="1" x14ac:dyDescent="0.25">
      <c r="A241" s="65" t="s">
        <v>499</v>
      </c>
      <c r="B241" s="66" t="s">
        <v>498</v>
      </c>
    </row>
    <row r="242" spans="1:2" ht="12" customHeight="1" x14ac:dyDescent="0.25">
      <c r="A242" s="65" t="s">
        <v>238</v>
      </c>
      <c r="B242" s="68" t="s">
        <v>924</v>
      </c>
    </row>
    <row r="243" spans="1:2" ht="12" customHeight="1" x14ac:dyDescent="0.25">
      <c r="A243" s="65" t="s">
        <v>501</v>
      </c>
      <c r="B243" s="66" t="s">
        <v>500</v>
      </c>
    </row>
    <row r="244" spans="1:2" ht="12" customHeight="1" x14ac:dyDescent="0.25">
      <c r="A244" s="65" t="s">
        <v>503</v>
      </c>
      <c r="B244" s="66" t="s">
        <v>502</v>
      </c>
    </row>
    <row r="245" spans="1:2" ht="12" customHeight="1" x14ac:dyDescent="0.25">
      <c r="A245" s="65" t="s">
        <v>506</v>
      </c>
      <c r="B245" s="68" t="s">
        <v>925</v>
      </c>
    </row>
    <row r="246" spans="1:2" ht="12" customHeight="1" x14ac:dyDescent="0.25">
      <c r="A246" s="65" t="s">
        <v>508</v>
      </c>
      <c r="B246" s="67" t="s">
        <v>507</v>
      </c>
    </row>
    <row r="247" spans="1:2" ht="12" customHeight="1" x14ac:dyDescent="0.25">
      <c r="A247" s="65" t="s">
        <v>509</v>
      </c>
      <c r="B247" s="68" t="s">
        <v>24</v>
      </c>
    </row>
    <row r="248" spans="1:2" ht="12" customHeight="1" x14ac:dyDescent="0.25">
      <c r="A248" s="65" t="s">
        <v>511</v>
      </c>
      <c r="B248" s="66" t="s">
        <v>510</v>
      </c>
    </row>
    <row r="249" spans="1:2" ht="12" customHeight="1" x14ac:dyDescent="0.25">
      <c r="A249" s="65" t="s">
        <v>512</v>
      </c>
      <c r="B249" s="66" t="s">
        <v>25</v>
      </c>
    </row>
  </sheetData>
  <sheetProtection algorithmName="SHA-512" hashValue="ODEUzxageVGbT9AgkCPadTss0aOT0+swpECp9SZ+XgK6ATvW4mdusGOtaW3MqD5+K7DdmvBO84597MPjASAGwA==" saltValue="NevnnLLfdE2cXd5JUWVOTA==" spinCount="100000" sheet="1" objects="1" scenarios="1"/>
  <conditionalFormatting sqref="B248 B93:B96 B114:B117 B203:B204 B2:B55 B57:B91 B98:B105 B107:B112 B119:B187 B189:B201 B206:B211 B213 B215:B231 B234:B246">
    <cfRule type="duplicateValues" dxfId="41" priority="30"/>
  </conditionalFormatting>
  <conditionalFormatting sqref="B28">
    <cfRule type="duplicateValues" dxfId="40" priority="29"/>
  </conditionalFormatting>
  <conditionalFormatting sqref="B56">
    <cfRule type="duplicateValues" dxfId="39" priority="28"/>
  </conditionalFormatting>
  <conditionalFormatting sqref="B56">
    <cfRule type="duplicateValues" dxfId="38" priority="27"/>
  </conditionalFormatting>
  <conditionalFormatting sqref="B64">
    <cfRule type="duplicateValues" dxfId="37" priority="26"/>
  </conditionalFormatting>
  <conditionalFormatting sqref="B72">
    <cfRule type="duplicateValues" dxfId="36" priority="25"/>
  </conditionalFormatting>
  <conditionalFormatting sqref="B79">
    <cfRule type="duplicateValues" dxfId="35" priority="24"/>
  </conditionalFormatting>
  <conditionalFormatting sqref="B81">
    <cfRule type="duplicateValues" dxfId="34" priority="23"/>
  </conditionalFormatting>
  <conditionalFormatting sqref="B92">
    <cfRule type="duplicateValues" dxfId="33" priority="22"/>
  </conditionalFormatting>
  <conditionalFormatting sqref="B97">
    <cfRule type="duplicateValues" dxfId="32" priority="21"/>
  </conditionalFormatting>
  <conditionalFormatting sqref="B97">
    <cfRule type="duplicateValues" dxfId="31" priority="20"/>
  </conditionalFormatting>
  <conditionalFormatting sqref="B97">
    <cfRule type="duplicateValues" dxfId="30" priority="19"/>
  </conditionalFormatting>
  <conditionalFormatting sqref="B106">
    <cfRule type="duplicateValues" dxfId="29" priority="18"/>
  </conditionalFormatting>
  <conditionalFormatting sqref="B110">
    <cfRule type="duplicateValues" dxfId="28" priority="17"/>
  </conditionalFormatting>
  <conditionalFormatting sqref="B113">
    <cfRule type="duplicateValues" dxfId="27" priority="16"/>
  </conditionalFormatting>
  <conditionalFormatting sqref="B118">
    <cfRule type="duplicateValues" dxfId="26" priority="15"/>
  </conditionalFormatting>
  <conditionalFormatting sqref="B133">
    <cfRule type="duplicateValues" dxfId="25" priority="14"/>
  </conditionalFormatting>
  <conditionalFormatting sqref="B188">
    <cfRule type="duplicateValues" dxfId="24" priority="13"/>
  </conditionalFormatting>
  <conditionalFormatting sqref="B188">
    <cfRule type="duplicateValues" dxfId="23" priority="12"/>
  </conditionalFormatting>
  <conditionalFormatting sqref="B202">
    <cfRule type="duplicateValues" dxfId="22" priority="11"/>
  </conditionalFormatting>
  <conditionalFormatting sqref="B202">
    <cfRule type="duplicateValues" dxfId="21" priority="10"/>
  </conditionalFormatting>
  <conditionalFormatting sqref="B205">
    <cfRule type="duplicateValues" dxfId="20" priority="9"/>
  </conditionalFormatting>
  <conditionalFormatting sqref="B208">
    <cfRule type="duplicateValues" dxfId="19" priority="8"/>
  </conditionalFormatting>
  <conditionalFormatting sqref="B212">
    <cfRule type="duplicateValues" dxfId="18" priority="7"/>
  </conditionalFormatting>
  <conditionalFormatting sqref="B247">
    <cfRule type="duplicateValues" dxfId="17" priority="6"/>
  </conditionalFormatting>
  <conditionalFormatting sqref="B247">
    <cfRule type="duplicateValues" dxfId="16" priority="5"/>
  </conditionalFormatting>
  <conditionalFormatting sqref="B249">
    <cfRule type="duplicateValues" dxfId="15" priority="4"/>
  </conditionalFormatting>
  <conditionalFormatting sqref="B214">
    <cfRule type="duplicateValues" dxfId="14" priority="3"/>
  </conditionalFormatting>
  <conditionalFormatting sqref="B232">
    <cfRule type="duplicateValues" dxfId="13" priority="2"/>
  </conditionalFormatting>
  <conditionalFormatting sqref="B233">
    <cfRule type="duplicateValues" dxfId="12" priority="1"/>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8FA24-B116-4137-9C47-1B9CEA68832F}">
  <sheetPr codeName="Sheet11"/>
  <dimension ref="A1:B53"/>
  <sheetViews>
    <sheetView workbookViewId="0">
      <selection activeCell="D32" sqref="D32"/>
    </sheetView>
  </sheetViews>
  <sheetFormatPr defaultRowHeight="12" customHeight="1" x14ac:dyDescent="0.25"/>
  <cols>
    <col min="1" max="1" width="20.140625" customWidth="1"/>
    <col min="2" max="2" width="38.85546875" customWidth="1"/>
  </cols>
  <sheetData>
    <row r="1" spans="1:2" ht="12" customHeight="1" x14ac:dyDescent="0.25">
      <c r="A1" s="72" t="s">
        <v>928</v>
      </c>
      <c r="B1" s="72" t="s">
        <v>1106</v>
      </c>
    </row>
    <row r="2" spans="1:2" ht="12" customHeight="1" x14ac:dyDescent="0.25">
      <c r="A2" s="65" t="s">
        <v>514</v>
      </c>
      <c r="B2" s="66" t="s">
        <v>514</v>
      </c>
    </row>
    <row r="3" spans="1:2" ht="12" customHeight="1" x14ac:dyDescent="0.25">
      <c r="A3" s="65" t="s">
        <v>57</v>
      </c>
      <c r="B3" s="66" t="s">
        <v>1031</v>
      </c>
    </row>
    <row r="4" spans="1:2" ht="12" customHeight="1" x14ac:dyDescent="0.25">
      <c r="A4" s="65" t="s">
        <v>1032</v>
      </c>
      <c r="B4" s="67" t="s">
        <v>1033</v>
      </c>
    </row>
    <row r="5" spans="1:2" ht="12" customHeight="1" x14ac:dyDescent="0.25">
      <c r="A5" s="65" t="s">
        <v>82</v>
      </c>
      <c r="B5" s="66" t="s">
        <v>1034</v>
      </c>
    </row>
    <row r="6" spans="1:2" ht="12" customHeight="1" x14ac:dyDescent="0.25">
      <c r="A6" s="65" t="s">
        <v>71</v>
      </c>
      <c r="B6" s="66" t="s">
        <v>1035</v>
      </c>
    </row>
    <row r="7" spans="1:2" ht="12" customHeight="1" x14ac:dyDescent="0.25">
      <c r="A7" s="65" t="s">
        <v>129</v>
      </c>
      <c r="B7" s="67" t="s">
        <v>1036</v>
      </c>
    </row>
    <row r="8" spans="1:2" ht="12" customHeight="1" x14ac:dyDescent="0.25">
      <c r="A8" s="65" t="s">
        <v>145</v>
      </c>
      <c r="B8" s="66" t="s">
        <v>1037</v>
      </c>
    </row>
    <row r="9" spans="1:2" ht="12" customHeight="1" x14ac:dyDescent="0.25">
      <c r="A9" s="65" t="s">
        <v>1038</v>
      </c>
      <c r="B9" s="66" t="s">
        <v>1039</v>
      </c>
    </row>
    <row r="10" spans="1:2" ht="12" customHeight="1" x14ac:dyDescent="0.25">
      <c r="A10" s="65" t="s">
        <v>210</v>
      </c>
      <c r="B10" s="67" t="s">
        <v>1040</v>
      </c>
    </row>
    <row r="11" spans="1:2" ht="12" customHeight="1" x14ac:dyDescent="0.25">
      <c r="A11" s="65" t="s">
        <v>1041</v>
      </c>
      <c r="B11" s="68" t="s">
        <v>1042</v>
      </c>
    </row>
    <row r="12" spans="1:2" ht="12" customHeight="1" x14ac:dyDescent="0.25">
      <c r="A12" s="65" t="s">
        <v>1043</v>
      </c>
      <c r="B12" s="66" t="s">
        <v>1044</v>
      </c>
    </row>
    <row r="13" spans="1:2" ht="12" customHeight="1" x14ac:dyDescent="0.25">
      <c r="A13" s="65" t="s">
        <v>205</v>
      </c>
      <c r="B13" s="66" t="s">
        <v>207</v>
      </c>
    </row>
    <row r="14" spans="1:2" ht="12" customHeight="1" x14ac:dyDescent="0.25">
      <c r="A14" s="65" t="s">
        <v>1045</v>
      </c>
      <c r="B14" s="67" t="s">
        <v>1046</v>
      </c>
    </row>
    <row r="15" spans="1:2" ht="12" customHeight="1" x14ac:dyDescent="0.25">
      <c r="A15" s="65" t="s">
        <v>250</v>
      </c>
      <c r="B15" s="66" t="s">
        <v>1047</v>
      </c>
    </row>
    <row r="16" spans="1:2" ht="12" customHeight="1" x14ac:dyDescent="0.25">
      <c r="A16" s="65" t="s">
        <v>259</v>
      </c>
      <c r="B16" s="66" t="s">
        <v>1048</v>
      </c>
    </row>
    <row r="17" spans="1:2" ht="12" customHeight="1" x14ac:dyDescent="0.25">
      <c r="A17" s="65" t="s">
        <v>248</v>
      </c>
      <c r="B17" s="66" t="s">
        <v>1049</v>
      </c>
    </row>
    <row r="18" spans="1:2" ht="12" customHeight="1" x14ac:dyDescent="0.25">
      <c r="A18" s="65" t="s">
        <v>1050</v>
      </c>
      <c r="B18" s="66" t="s">
        <v>1051</v>
      </c>
    </row>
    <row r="19" spans="1:2" ht="12" customHeight="1" x14ac:dyDescent="0.25">
      <c r="A19" s="65" t="s">
        <v>1052</v>
      </c>
      <c r="B19" s="66" t="s">
        <v>1053</v>
      </c>
    </row>
    <row r="20" spans="1:2" ht="12" customHeight="1" x14ac:dyDescent="0.25">
      <c r="A20" s="65" t="s">
        <v>131</v>
      </c>
      <c r="B20" s="66" t="s">
        <v>1054</v>
      </c>
    </row>
    <row r="21" spans="1:2" ht="12" customHeight="1" x14ac:dyDescent="0.25">
      <c r="A21" s="65" t="s">
        <v>286</v>
      </c>
      <c r="B21" s="66" t="s">
        <v>1055</v>
      </c>
    </row>
    <row r="22" spans="1:2" ht="12" customHeight="1" x14ac:dyDescent="0.25">
      <c r="A22" s="65" t="s">
        <v>339</v>
      </c>
      <c r="B22" s="66" t="s">
        <v>1056</v>
      </c>
    </row>
    <row r="23" spans="1:2" ht="12" customHeight="1" x14ac:dyDescent="0.25">
      <c r="A23" s="65" t="s">
        <v>333</v>
      </c>
      <c r="B23" s="66" t="s">
        <v>1057</v>
      </c>
    </row>
    <row r="24" spans="1:2" ht="12" customHeight="1" x14ac:dyDescent="0.25">
      <c r="A24" s="65" t="s">
        <v>343</v>
      </c>
      <c r="B24" s="66" t="s">
        <v>1058</v>
      </c>
    </row>
    <row r="25" spans="1:2" ht="12" customHeight="1" x14ac:dyDescent="0.25">
      <c r="A25" s="65" t="s">
        <v>1059</v>
      </c>
      <c r="B25" s="66" t="s">
        <v>1060</v>
      </c>
    </row>
    <row r="26" spans="1:2" ht="12" customHeight="1" x14ac:dyDescent="0.25">
      <c r="A26" s="65" t="s">
        <v>337</v>
      </c>
      <c r="B26" s="67" t="s">
        <v>1061</v>
      </c>
    </row>
    <row r="27" spans="1:2" ht="12" customHeight="1" x14ac:dyDescent="0.25">
      <c r="A27" s="65" t="s">
        <v>341</v>
      </c>
      <c r="B27" s="66" t="s">
        <v>1062</v>
      </c>
    </row>
    <row r="28" spans="1:2" ht="12" customHeight="1" x14ac:dyDescent="0.25">
      <c r="A28" s="65" t="s">
        <v>304</v>
      </c>
      <c r="B28" s="66" t="s">
        <v>1063</v>
      </c>
    </row>
    <row r="29" spans="1:2" ht="12" customHeight="1" x14ac:dyDescent="0.25">
      <c r="A29" s="65" t="s">
        <v>317</v>
      </c>
      <c r="B29" s="69" t="s">
        <v>1064</v>
      </c>
    </row>
    <row r="30" spans="1:2" ht="12" customHeight="1" x14ac:dyDescent="0.25">
      <c r="A30" s="65" t="s">
        <v>361</v>
      </c>
      <c r="B30" s="66" t="s">
        <v>1065</v>
      </c>
    </row>
    <row r="31" spans="1:2" ht="12" customHeight="1" x14ac:dyDescent="0.25">
      <c r="A31" s="65" t="s">
        <v>1066</v>
      </c>
      <c r="B31" s="66" t="s">
        <v>1067</v>
      </c>
    </row>
    <row r="32" spans="1:2" ht="12" customHeight="1" x14ac:dyDescent="0.25">
      <c r="A32" s="65" t="s">
        <v>1068</v>
      </c>
      <c r="B32" s="66" t="s">
        <v>1069</v>
      </c>
    </row>
    <row r="33" spans="1:2" ht="12" customHeight="1" x14ac:dyDescent="0.25">
      <c r="A33" s="65" t="s">
        <v>1070</v>
      </c>
      <c r="B33" s="67" t="s">
        <v>1071</v>
      </c>
    </row>
    <row r="34" spans="1:2" ht="12" customHeight="1" x14ac:dyDescent="0.25">
      <c r="A34" s="65" t="s">
        <v>1072</v>
      </c>
      <c r="B34" s="67" t="s">
        <v>1073</v>
      </c>
    </row>
    <row r="35" spans="1:2" ht="12" customHeight="1" x14ac:dyDescent="0.25">
      <c r="A35" s="65" t="s">
        <v>1074</v>
      </c>
      <c r="B35" s="68" t="s">
        <v>1075</v>
      </c>
    </row>
    <row r="36" spans="1:2" ht="12" customHeight="1" x14ac:dyDescent="0.25">
      <c r="A36" s="65" t="s">
        <v>355</v>
      </c>
      <c r="B36" s="66" t="s">
        <v>1076</v>
      </c>
    </row>
    <row r="37" spans="1:2" ht="12" customHeight="1" x14ac:dyDescent="0.25">
      <c r="A37" s="65" t="s">
        <v>1077</v>
      </c>
      <c r="B37" s="66" t="s">
        <v>1078</v>
      </c>
    </row>
    <row r="38" spans="1:2" ht="12" customHeight="1" x14ac:dyDescent="0.25">
      <c r="A38" s="65" t="s">
        <v>1079</v>
      </c>
      <c r="B38" s="66" t="s">
        <v>1080</v>
      </c>
    </row>
    <row r="39" spans="1:2" ht="12" customHeight="1" x14ac:dyDescent="0.25">
      <c r="A39" s="65" t="s">
        <v>1081</v>
      </c>
      <c r="B39" s="66" t="s">
        <v>1082</v>
      </c>
    </row>
    <row r="40" spans="1:2" ht="12" customHeight="1" x14ac:dyDescent="0.25">
      <c r="A40" s="65" t="s">
        <v>1083</v>
      </c>
      <c r="B40" s="66" t="s">
        <v>1084</v>
      </c>
    </row>
    <row r="41" spans="1:2" ht="12" customHeight="1" x14ac:dyDescent="0.25">
      <c r="A41" s="65" t="s">
        <v>380</v>
      </c>
      <c r="B41" s="66" t="s">
        <v>1085</v>
      </c>
    </row>
    <row r="42" spans="1:2" ht="12" customHeight="1" x14ac:dyDescent="0.25">
      <c r="A42" s="65" t="s">
        <v>1086</v>
      </c>
      <c r="B42" s="68" t="s">
        <v>1087</v>
      </c>
    </row>
    <row r="43" spans="1:2" ht="12" customHeight="1" x14ac:dyDescent="0.25">
      <c r="A43" s="65" t="s">
        <v>429</v>
      </c>
      <c r="B43" s="67" t="s">
        <v>1088</v>
      </c>
    </row>
    <row r="44" spans="1:2" ht="12" customHeight="1" x14ac:dyDescent="0.25">
      <c r="A44" s="65" t="s">
        <v>453</v>
      </c>
      <c r="B44" s="66" t="s">
        <v>1089</v>
      </c>
    </row>
    <row r="45" spans="1:2" ht="12" customHeight="1" x14ac:dyDescent="0.25">
      <c r="A45" s="65" t="s">
        <v>477</v>
      </c>
      <c r="B45" s="66" t="s">
        <v>1090</v>
      </c>
    </row>
    <row r="46" spans="1:2" ht="12" customHeight="1" x14ac:dyDescent="0.25">
      <c r="A46" s="65" t="s">
        <v>1091</v>
      </c>
      <c r="B46" s="66" t="s">
        <v>1092</v>
      </c>
    </row>
    <row r="47" spans="1:2" ht="12" customHeight="1" x14ac:dyDescent="0.25">
      <c r="A47" s="65" t="s">
        <v>1093</v>
      </c>
      <c r="B47" s="66" t="s">
        <v>1094</v>
      </c>
    </row>
    <row r="48" spans="1:2" ht="12" customHeight="1" x14ac:dyDescent="0.25">
      <c r="A48" s="65" t="s">
        <v>1095</v>
      </c>
      <c r="B48" s="67" t="s">
        <v>1096</v>
      </c>
    </row>
    <row r="49" spans="1:2" ht="12" customHeight="1" x14ac:dyDescent="0.25">
      <c r="A49" s="65" t="s">
        <v>238</v>
      </c>
      <c r="B49" s="67" t="s">
        <v>1097</v>
      </c>
    </row>
    <row r="50" spans="1:2" ht="12" customHeight="1" x14ac:dyDescent="0.25">
      <c r="A50" s="65" t="s">
        <v>1098</v>
      </c>
      <c r="B50" s="66" t="s">
        <v>1099</v>
      </c>
    </row>
    <row r="51" spans="1:2" ht="12" customHeight="1" x14ac:dyDescent="0.25">
      <c r="A51" s="65" t="s">
        <v>1100</v>
      </c>
      <c r="B51" s="66" t="s">
        <v>1101</v>
      </c>
    </row>
    <row r="52" spans="1:2" ht="12" customHeight="1" x14ac:dyDescent="0.25">
      <c r="A52" s="65" t="s">
        <v>1102</v>
      </c>
      <c r="B52" s="66" t="s">
        <v>1103</v>
      </c>
    </row>
    <row r="53" spans="1:2" ht="12" customHeight="1" x14ac:dyDescent="0.25">
      <c r="A53" s="65" t="s">
        <v>1104</v>
      </c>
      <c r="B53" s="66" t="s">
        <v>1105</v>
      </c>
    </row>
  </sheetData>
  <sheetProtection algorithmName="SHA-512" hashValue="RJD2BtvTB0R3AogGAABpSBGvlj5qV7AodG+jOHva50jhbhZQbQMcqk3nJ8tz+gEQHw8AIKSTfcfBewKemPQgcg==" saltValue="4ysDPlbg9iSnqbuiKfzCJw==" spinCount="100000" sheet="1" objects="1" scenarios="1"/>
  <conditionalFormatting sqref="B29">
    <cfRule type="duplicateValues" dxfId="11" priority="30"/>
  </conditionalFormatting>
  <conditionalFormatting sqref="B3:B53">
    <cfRule type="duplicateValues" dxfId="10" priority="32"/>
  </conditionalFormatting>
  <conditionalFormatting sqref="B2">
    <cfRule type="duplicateValues" dxfId="9" priority="1"/>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1962F-7ECB-4A53-9BF4-A2DC44F67774}">
  <sheetPr codeName="Sheet8"/>
  <dimension ref="A1:C198"/>
  <sheetViews>
    <sheetView topLeftCell="A160" workbookViewId="0">
      <selection activeCell="E29" sqref="E29"/>
    </sheetView>
  </sheetViews>
  <sheetFormatPr defaultRowHeight="12" customHeight="1" x14ac:dyDescent="0.25"/>
  <cols>
    <col min="2" max="2" width="35.140625" customWidth="1"/>
    <col min="3" max="3" width="35" customWidth="1"/>
  </cols>
  <sheetData>
    <row r="1" spans="1:3" ht="12" customHeight="1" x14ac:dyDescent="0.25">
      <c r="A1" s="70"/>
      <c r="B1" s="71" t="s">
        <v>926</v>
      </c>
      <c r="C1" s="71" t="s">
        <v>927</v>
      </c>
    </row>
    <row r="2" spans="1:3" ht="12" customHeight="1" x14ac:dyDescent="0.25">
      <c r="A2" s="1"/>
      <c r="B2" s="1" t="s">
        <v>54</v>
      </c>
      <c r="C2" s="1" t="s">
        <v>694</v>
      </c>
    </row>
    <row r="3" spans="1:3" ht="12" customHeight="1" x14ac:dyDescent="0.25">
      <c r="A3" s="1"/>
      <c r="B3" s="1" t="s">
        <v>56</v>
      </c>
      <c r="C3" s="1" t="s">
        <v>695</v>
      </c>
    </row>
    <row r="4" spans="1:3" ht="12" customHeight="1" x14ac:dyDescent="0.25">
      <c r="A4" s="1"/>
      <c r="B4" s="1" t="s">
        <v>58</v>
      </c>
      <c r="C4" s="1" t="s">
        <v>696</v>
      </c>
    </row>
    <row r="5" spans="1:3" ht="12" customHeight="1" x14ac:dyDescent="0.25">
      <c r="A5" s="1"/>
      <c r="B5" s="1" t="s">
        <v>62</v>
      </c>
      <c r="C5" s="1" t="s">
        <v>697</v>
      </c>
    </row>
    <row r="6" spans="1:3" ht="12" customHeight="1" x14ac:dyDescent="0.25">
      <c r="A6" s="1"/>
      <c r="B6" s="1" t="s">
        <v>64</v>
      </c>
      <c r="C6" s="1" t="s">
        <v>698</v>
      </c>
    </row>
    <row r="7" spans="1:3" ht="12" customHeight="1" x14ac:dyDescent="0.25">
      <c r="A7" s="1"/>
      <c r="B7" s="1" t="s">
        <v>68</v>
      </c>
      <c r="C7" s="1" t="s">
        <v>699</v>
      </c>
    </row>
    <row r="8" spans="1:3" ht="12" customHeight="1" x14ac:dyDescent="0.25">
      <c r="A8" s="1"/>
      <c r="B8" s="1" t="s">
        <v>70</v>
      </c>
      <c r="C8" s="1" t="s">
        <v>700</v>
      </c>
    </row>
    <row r="9" spans="1:3" ht="12" customHeight="1" x14ac:dyDescent="0.25">
      <c r="A9" s="1"/>
      <c r="B9" s="1" t="s">
        <v>72</v>
      </c>
      <c r="C9" s="1" t="s">
        <v>701</v>
      </c>
    </row>
    <row r="10" spans="1:3" ht="12" customHeight="1" x14ac:dyDescent="0.25">
      <c r="A10" s="1"/>
      <c r="B10" s="1" t="s">
        <v>77</v>
      </c>
      <c r="C10" s="1" t="s">
        <v>702</v>
      </c>
    </row>
    <row r="11" spans="1:3" ht="12" customHeight="1" x14ac:dyDescent="0.25">
      <c r="A11" s="1"/>
      <c r="B11" s="1" t="s">
        <v>79</v>
      </c>
      <c r="C11" s="1" t="s">
        <v>703</v>
      </c>
    </row>
    <row r="12" spans="1:3" ht="12" customHeight="1" x14ac:dyDescent="0.25">
      <c r="A12" s="1"/>
      <c r="B12" s="1" t="s">
        <v>81</v>
      </c>
      <c r="C12" s="1" t="s">
        <v>704</v>
      </c>
    </row>
    <row r="13" spans="1:3" ht="12" customHeight="1" x14ac:dyDescent="0.25">
      <c r="A13" s="1"/>
      <c r="B13" s="1" t="s">
        <v>705</v>
      </c>
      <c r="C13" s="1" t="s">
        <v>706</v>
      </c>
    </row>
    <row r="14" spans="1:3" ht="12" customHeight="1" x14ac:dyDescent="0.25">
      <c r="A14" s="1"/>
      <c r="B14" s="1" t="s">
        <v>84</v>
      </c>
      <c r="C14" s="1" t="s">
        <v>707</v>
      </c>
    </row>
    <row r="15" spans="1:3" ht="12" customHeight="1" x14ac:dyDescent="0.25">
      <c r="A15" s="1"/>
      <c r="B15" s="1" t="s">
        <v>87</v>
      </c>
      <c r="C15" s="1" t="s">
        <v>708</v>
      </c>
    </row>
    <row r="16" spans="1:3" ht="12" customHeight="1" x14ac:dyDescent="0.25">
      <c r="A16" s="1"/>
      <c r="B16" s="1" t="s">
        <v>89</v>
      </c>
      <c r="C16" s="1" t="s">
        <v>709</v>
      </c>
    </row>
    <row r="17" spans="1:3" ht="12" customHeight="1" x14ac:dyDescent="0.25">
      <c r="A17" s="1"/>
      <c r="B17" s="1" t="s">
        <v>91</v>
      </c>
      <c r="C17" s="1" t="s">
        <v>710</v>
      </c>
    </row>
    <row r="18" spans="1:3" ht="12" customHeight="1" x14ac:dyDescent="0.25">
      <c r="A18" s="1"/>
      <c r="B18" s="1" t="s">
        <v>93</v>
      </c>
      <c r="C18" s="1" t="s">
        <v>711</v>
      </c>
    </row>
    <row r="19" spans="1:3" ht="12" customHeight="1" x14ac:dyDescent="0.25">
      <c r="A19" s="1"/>
      <c r="B19" s="1" t="s">
        <v>95</v>
      </c>
      <c r="C19" s="1" t="s">
        <v>712</v>
      </c>
    </row>
    <row r="20" spans="1:3" ht="12" customHeight="1" x14ac:dyDescent="0.25">
      <c r="A20" s="1"/>
      <c r="B20" s="1" t="s">
        <v>97</v>
      </c>
      <c r="C20" s="1" t="s">
        <v>713</v>
      </c>
    </row>
    <row r="21" spans="1:3" ht="12" customHeight="1" x14ac:dyDescent="0.25">
      <c r="A21" s="1"/>
      <c r="B21" s="1" t="s">
        <v>101</v>
      </c>
      <c r="C21" s="1" t="s">
        <v>714</v>
      </c>
    </row>
    <row r="22" spans="1:3" ht="12" customHeight="1" x14ac:dyDescent="0.25">
      <c r="A22" s="1"/>
      <c r="B22" s="1" t="s">
        <v>103</v>
      </c>
      <c r="C22" s="1" t="s">
        <v>715</v>
      </c>
    </row>
    <row r="23" spans="1:3" ht="12" customHeight="1" x14ac:dyDescent="0.25">
      <c r="A23" s="1"/>
      <c r="B23" s="1" t="s">
        <v>106</v>
      </c>
      <c r="C23" s="1" t="s">
        <v>716</v>
      </c>
    </row>
    <row r="24" spans="1:3" ht="12" customHeight="1" x14ac:dyDescent="0.25">
      <c r="A24" s="1"/>
      <c r="B24" s="1" t="s">
        <v>108</v>
      </c>
      <c r="C24" s="1" t="s">
        <v>717</v>
      </c>
    </row>
    <row r="25" spans="1:3" ht="12" customHeight="1" x14ac:dyDescent="0.25">
      <c r="A25" s="1"/>
      <c r="B25" s="1" t="s">
        <v>110</v>
      </c>
      <c r="C25" s="1" t="s">
        <v>718</v>
      </c>
    </row>
    <row r="26" spans="1:3" ht="12" customHeight="1" x14ac:dyDescent="0.25">
      <c r="A26" s="1"/>
      <c r="B26" s="1" t="s">
        <v>904</v>
      </c>
      <c r="C26" s="1" t="s">
        <v>1320</v>
      </c>
    </row>
    <row r="27" spans="1:3" ht="12" customHeight="1" x14ac:dyDescent="0.25">
      <c r="A27" s="1"/>
      <c r="B27" s="1" t="s">
        <v>114</v>
      </c>
      <c r="C27" s="1" t="s">
        <v>719</v>
      </c>
    </row>
    <row r="28" spans="1:3" ht="12" customHeight="1" x14ac:dyDescent="0.25">
      <c r="A28" s="1"/>
      <c r="B28" s="1" t="s">
        <v>116</v>
      </c>
      <c r="C28" s="1" t="s">
        <v>720</v>
      </c>
    </row>
    <row r="29" spans="1:3" ht="12" customHeight="1" x14ac:dyDescent="0.25">
      <c r="A29" s="1"/>
      <c r="B29" s="1" t="s">
        <v>118</v>
      </c>
      <c r="C29" s="1" t="s">
        <v>721</v>
      </c>
    </row>
    <row r="30" spans="1:3" ht="12" customHeight="1" x14ac:dyDescent="0.25">
      <c r="A30" s="1"/>
      <c r="B30" s="1" t="s">
        <v>121</v>
      </c>
      <c r="C30" s="1" t="s">
        <v>722</v>
      </c>
    </row>
    <row r="31" spans="1:3" ht="12" customHeight="1" x14ac:dyDescent="0.25">
      <c r="A31" s="1"/>
      <c r="B31" s="1" t="s">
        <v>124</v>
      </c>
      <c r="C31" s="1" t="s">
        <v>723</v>
      </c>
    </row>
    <row r="32" spans="1:3" ht="12" customHeight="1" x14ac:dyDescent="0.25">
      <c r="A32" s="1"/>
      <c r="B32" s="1" t="s">
        <v>126</v>
      </c>
      <c r="C32" s="1" t="s">
        <v>724</v>
      </c>
    </row>
    <row r="33" spans="1:3" ht="12" customHeight="1" x14ac:dyDescent="0.25">
      <c r="A33" s="1"/>
      <c r="B33" s="1" t="s">
        <v>128</v>
      </c>
      <c r="C33" s="1" t="s">
        <v>725</v>
      </c>
    </row>
    <row r="34" spans="1:3" ht="12" customHeight="1" x14ac:dyDescent="0.25">
      <c r="A34" s="1"/>
      <c r="B34" s="1" t="s">
        <v>726</v>
      </c>
      <c r="C34" s="1" t="s">
        <v>727</v>
      </c>
    </row>
    <row r="35" spans="1:3" ht="12" customHeight="1" x14ac:dyDescent="0.25">
      <c r="A35" s="1"/>
      <c r="B35" s="1" t="s">
        <v>130</v>
      </c>
      <c r="C35" s="1" t="s">
        <v>1319</v>
      </c>
    </row>
    <row r="36" spans="1:3" ht="12" customHeight="1" x14ac:dyDescent="0.25">
      <c r="A36" s="1"/>
      <c r="B36" s="1" t="s">
        <v>132</v>
      </c>
      <c r="C36" s="1" t="s">
        <v>728</v>
      </c>
    </row>
    <row r="37" spans="1:3" ht="12" customHeight="1" x14ac:dyDescent="0.25">
      <c r="A37" s="1"/>
      <c r="B37" s="1" t="s">
        <v>134</v>
      </c>
      <c r="C37" s="1" t="s">
        <v>729</v>
      </c>
    </row>
    <row r="38" spans="1:3" ht="12" customHeight="1" x14ac:dyDescent="0.25">
      <c r="A38" s="1"/>
      <c r="B38" s="1" t="s">
        <v>136</v>
      </c>
      <c r="C38" s="1" t="s">
        <v>730</v>
      </c>
    </row>
    <row r="39" spans="1:3" ht="12" customHeight="1" x14ac:dyDescent="0.25">
      <c r="A39" s="1"/>
      <c r="B39" s="1" t="s">
        <v>138</v>
      </c>
      <c r="C39" s="1" t="s">
        <v>731</v>
      </c>
    </row>
    <row r="40" spans="1:3" ht="12" customHeight="1" x14ac:dyDescent="0.25">
      <c r="A40" s="1"/>
      <c r="B40" s="1" t="s">
        <v>144</v>
      </c>
      <c r="C40" s="1" t="s">
        <v>732</v>
      </c>
    </row>
    <row r="41" spans="1:3" ht="12" customHeight="1" x14ac:dyDescent="0.25">
      <c r="A41" s="1"/>
      <c r="B41" s="1" t="s">
        <v>146</v>
      </c>
      <c r="C41" s="1" t="s">
        <v>733</v>
      </c>
    </row>
    <row r="42" spans="1:3" ht="12" customHeight="1" x14ac:dyDescent="0.25">
      <c r="A42" s="1"/>
      <c r="B42" s="1" t="s">
        <v>148</v>
      </c>
      <c r="C42" s="1" t="s">
        <v>734</v>
      </c>
    </row>
    <row r="43" spans="1:3" ht="12" customHeight="1" x14ac:dyDescent="0.25">
      <c r="A43" s="1"/>
      <c r="B43" s="1" t="s">
        <v>150</v>
      </c>
      <c r="C43" s="1" t="s">
        <v>735</v>
      </c>
    </row>
    <row r="44" spans="1:3" ht="12" customHeight="1" x14ac:dyDescent="0.25">
      <c r="A44" s="1"/>
      <c r="B44" s="1" t="s">
        <v>154</v>
      </c>
      <c r="C44" s="1" t="s">
        <v>736</v>
      </c>
    </row>
    <row r="45" spans="1:3" ht="12" customHeight="1" x14ac:dyDescent="0.25">
      <c r="A45" s="1"/>
      <c r="B45" s="1" t="s">
        <v>156</v>
      </c>
      <c r="C45" s="1" t="s">
        <v>737</v>
      </c>
    </row>
    <row r="46" spans="1:3" ht="12" customHeight="1" x14ac:dyDescent="0.25">
      <c r="A46" s="1"/>
      <c r="B46" s="1" t="s">
        <v>158</v>
      </c>
      <c r="C46" s="1" t="s">
        <v>738</v>
      </c>
    </row>
    <row r="47" spans="1:3" ht="12" customHeight="1" x14ac:dyDescent="0.25">
      <c r="A47" s="1"/>
      <c r="B47" s="1" t="s">
        <v>23</v>
      </c>
      <c r="C47" s="1" t="s">
        <v>739</v>
      </c>
    </row>
    <row r="48" spans="1:3" ht="12" customHeight="1" x14ac:dyDescent="0.25">
      <c r="A48" s="1"/>
      <c r="B48" s="1" t="s">
        <v>163</v>
      </c>
      <c r="C48" s="1" t="s">
        <v>740</v>
      </c>
    </row>
    <row r="49" spans="1:3" ht="12" customHeight="1" x14ac:dyDescent="0.25">
      <c r="A49" s="1"/>
      <c r="B49" s="1" t="s">
        <v>741</v>
      </c>
      <c r="C49" s="1" t="s">
        <v>742</v>
      </c>
    </row>
    <row r="50" spans="1:3" ht="12" customHeight="1" x14ac:dyDescent="0.25">
      <c r="A50" s="1"/>
      <c r="B50" s="1" t="s">
        <v>166</v>
      </c>
      <c r="C50" s="1" t="s">
        <v>743</v>
      </c>
    </row>
    <row r="51" spans="1:3" ht="12" customHeight="1" x14ac:dyDescent="0.25">
      <c r="A51" s="1"/>
      <c r="B51" s="1" t="s">
        <v>168</v>
      </c>
      <c r="C51" s="1" t="s">
        <v>744</v>
      </c>
    </row>
    <row r="52" spans="1:3" ht="12" customHeight="1" x14ac:dyDescent="0.25">
      <c r="A52" s="1"/>
      <c r="B52" s="1" t="s">
        <v>170</v>
      </c>
      <c r="C52" s="1" t="s">
        <v>745</v>
      </c>
    </row>
    <row r="53" spans="1:3" ht="12" customHeight="1" x14ac:dyDescent="0.25">
      <c r="A53" s="1"/>
      <c r="B53" s="1" t="s">
        <v>172</v>
      </c>
      <c r="C53" s="1" t="s">
        <v>746</v>
      </c>
    </row>
    <row r="54" spans="1:3" ht="12" customHeight="1" x14ac:dyDescent="0.25">
      <c r="A54" s="1"/>
      <c r="B54" s="1" t="s">
        <v>174</v>
      </c>
      <c r="C54" s="1" t="s">
        <v>747</v>
      </c>
    </row>
    <row r="55" spans="1:3" ht="12" customHeight="1" x14ac:dyDescent="0.25">
      <c r="A55" s="1"/>
      <c r="B55" s="1" t="s">
        <v>176</v>
      </c>
      <c r="C55" s="1" t="s">
        <v>748</v>
      </c>
    </row>
    <row r="56" spans="1:3" ht="12" customHeight="1" x14ac:dyDescent="0.25">
      <c r="A56" s="1"/>
      <c r="B56" s="1" t="s">
        <v>178</v>
      </c>
      <c r="C56" s="1" t="s">
        <v>749</v>
      </c>
    </row>
    <row r="57" spans="1:3" ht="12" customHeight="1" x14ac:dyDescent="0.25">
      <c r="A57" s="1"/>
      <c r="B57" s="1" t="s">
        <v>180</v>
      </c>
      <c r="C57" s="1" t="s">
        <v>750</v>
      </c>
    </row>
    <row r="58" spans="1:3" ht="12" customHeight="1" x14ac:dyDescent="0.25">
      <c r="A58" s="1"/>
      <c r="B58" s="1" t="s">
        <v>182</v>
      </c>
      <c r="C58" s="1" t="s">
        <v>751</v>
      </c>
    </row>
    <row r="59" spans="1:3" ht="12" customHeight="1" x14ac:dyDescent="0.25">
      <c r="A59" s="1"/>
      <c r="B59" s="1" t="s">
        <v>184</v>
      </c>
      <c r="C59" s="1" t="s">
        <v>752</v>
      </c>
    </row>
    <row r="60" spans="1:3" ht="12" customHeight="1" x14ac:dyDescent="0.25">
      <c r="A60" s="1"/>
      <c r="B60" s="1" t="s">
        <v>753</v>
      </c>
      <c r="C60" s="1" t="s">
        <v>754</v>
      </c>
    </row>
    <row r="61" spans="1:3" ht="12" customHeight="1" x14ac:dyDescent="0.25">
      <c r="A61" s="1"/>
      <c r="B61" s="1" t="s">
        <v>187</v>
      </c>
      <c r="C61" s="1" t="s">
        <v>755</v>
      </c>
    </row>
    <row r="62" spans="1:3" ht="12" customHeight="1" x14ac:dyDescent="0.25">
      <c r="A62" s="1"/>
      <c r="B62" s="1" t="s">
        <v>192</v>
      </c>
      <c r="C62" s="1" t="s">
        <v>756</v>
      </c>
    </row>
    <row r="63" spans="1:3" ht="12" customHeight="1" x14ac:dyDescent="0.25">
      <c r="A63" s="1"/>
      <c r="B63" s="1" t="s">
        <v>194</v>
      </c>
      <c r="C63" s="1" t="s">
        <v>757</v>
      </c>
    </row>
    <row r="64" spans="1:3" ht="12" customHeight="1" x14ac:dyDescent="0.25">
      <c r="A64" s="1"/>
      <c r="B64" s="1" t="s">
        <v>196</v>
      </c>
      <c r="C64" s="1" t="s">
        <v>758</v>
      </c>
    </row>
    <row r="65" spans="1:3" ht="12" customHeight="1" x14ac:dyDescent="0.25">
      <c r="A65" s="1"/>
      <c r="B65" s="1" t="s">
        <v>204</v>
      </c>
      <c r="C65" s="1" t="s">
        <v>759</v>
      </c>
    </row>
    <row r="66" spans="1:3" ht="12" customHeight="1" x14ac:dyDescent="0.25">
      <c r="A66" s="1"/>
      <c r="B66" s="1" t="s">
        <v>207</v>
      </c>
      <c r="C66" s="1" t="s">
        <v>760</v>
      </c>
    </row>
    <row r="67" spans="1:3" ht="12" customHeight="1" x14ac:dyDescent="0.25">
      <c r="A67" s="1"/>
      <c r="B67" s="1" t="s">
        <v>209</v>
      </c>
      <c r="C67" s="1" t="s">
        <v>761</v>
      </c>
    </row>
    <row r="68" spans="1:3" ht="12" customHeight="1" x14ac:dyDescent="0.25">
      <c r="A68" s="1"/>
      <c r="B68" s="1" t="s">
        <v>211</v>
      </c>
      <c r="C68" s="1" t="s">
        <v>762</v>
      </c>
    </row>
    <row r="69" spans="1:3" ht="12" customHeight="1" x14ac:dyDescent="0.25">
      <c r="A69" s="1"/>
      <c r="B69" s="1" t="s">
        <v>215</v>
      </c>
      <c r="C69" s="1" t="s">
        <v>763</v>
      </c>
    </row>
    <row r="70" spans="1:3" ht="12" customHeight="1" x14ac:dyDescent="0.25">
      <c r="A70" s="1"/>
      <c r="B70" s="1" t="s">
        <v>219</v>
      </c>
      <c r="C70" s="1" t="s">
        <v>764</v>
      </c>
    </row>
    <row r="71" spans="1:3" ht="12" customHeight="1" x14ac:dyDescent="0.25">
      <c r="A71" s="1"/>
      <c r="B71" s="1" t="s">
        <v>225</v>
      </c>
      <c r="C71" s="1" t="s">
        <v>765</v>
      </c>
    </row>
    <row r="72" spans="1:3" ht="12" customHeight="1" x14ac:dyDescent="0.25">
      <c r="A72" s="1"/>
      <c r="B72" s="1" t="s">
        <v>229</v>
      </c>
      <c r="C72" s="1" t="s">
        <v>766</v>
      </c>
    </row>
    <row r="73" spans="1:3" ht="12" customHeight="1" x14ac:dyDescent="0.25">
      <c r="A73" s="1"/>
      <c r="B73" s="1" t="s">
        <v>231</v>
      </c>
      <c r="C73" s="1" t="s">
        <v>767</v>
      </c>
    </row>
    <row r="74" spans="1:3" ht="12" customHeight="1" x14ac:dyDescent="0.25">
      <c r="A74" s="1"/>
      <c r="B74" s="1" t="s">
        <v>233</v>
      </c>
      <c r="C74" s="1" t="s">
        <v>768</v>
      </c>
    </row>
    <row r="75" spans="1:3" ht="12" customHeight="1" x14ac:dyDescent="0.25">
      <c r="A75" s="1"/>
      <c r="B75" s="1" t="s">
        <v>235</v>
      </c>
      <c r="C75" s="1" t="s">
        <v>769</v>
      </c>
    </row>
    <row r="76" spans="1:3" ht="12" customHeight="1" x14ac:dyDescent="0.25">
      <c r="A76" s="1"/>
      <c r="B76" s="1" t="s">
        <v>239</v>
      </c>
      <c r="C76" s="1" t="s">
        <v>770</v>
      </c>
    </row>
    <row r="77" spans="1:3" ht="12" customHeight="1" x14ac:dyDescent="0.25">
      <c r="A77" s="1"/>
      <c r="B77" s="1" t="s">
        <v>243</v>
      </c>
      <c r="C77" s="1" t="s">
        <v>771</v>
      </c>
    </row>
    <row r="78" spans="1:3" ht="12" customHeight="1" x14ac:dyDescent="0.25">
      <c r="A78" s="1"/>
      <c r="B78" s="1" t="s">
        <v>245</v>
      </c>
      <c r="C78" s="1" t="s">
        <v>772</v>
      </c>
    </row>
    <row r="79" spans="1:3" ht="12" customHeight="1" x14ac:dyDescent="0.25">
      <c r="A79" s="1"/>
      <c r="B79" s="1" t="s">
        <v>247</v>
      </c>
      <c r="C79" s="1" t="s">
        <v>773</v>
      </c>
    </row>
    <row r="80" spans="1:3" ht="12" customHeight="1" x14ac:dyDescent="0.25">
      <c r="A80" s="1"/>
      <c r="B80" s="1" t="s">
        <v>249</v>
      </c>
      <c r="C80" s="1" t="s">
        <v>774</v>
      </c>
    </row>
    <row r="81" spans="1:3" ht="12" customHeight="1" x14ac:dyDescent="0.25">
      <c r="A81" s="1"/>
      <c r="B81" s="1" t="s">
        <v>775</v>
      </c>
      <c r="C81" s="1" t="s">
        <v>776</v>
      </c>
    </row>
    <row r="82" spans="1:3" ht="12" customHeight="1" x14ac:dyDescent="0.25">
      <c r="A82" s="1"/>
      <c r="B82" s="1" t="s">
        <v>252</v>
      </c>
      <c r="C82" s="1" t="s">
        <v>777</v>
      </c>
    </row>
    <row r="83" spans="1:3" ht="12" customHeight="1" x14ac:dyDescent="0.25">
      <c r="A83" s="1"/>
      <c r="B83" s="1" t="s">
        <v>254</v>
      </c>
      <c r="C83" s="1" t="s">
        <v>778</v>
      </c>
    </row>
    <row r="84" spans="1:3" ht="12" customHeight="1" x14ac:dyDescent="0.25">
      <c r="A84" s="1"/>
      <c r="B84" s="1" t="s">
        <v>258</v>
      </c>
      <c r="C84" s="1" t="s">
        <v>779</v>
      </c>
    </row>
    <row r="85" spans="1:3" ht="12" customHeight="1" x14ac:dyDescent="0.25">
      <c r="A85" s="1"/>
      <c r="B85" s="1" t="s">
        <v>260</v>
      </c>
      <c r="C85" s="1" t="s">
        <v>780</v>
      </c>
    </row>
    <row r="86" spans="1:3" ht="12" customHeight="1" x14ac:dyDescent="0.25">
      <c r="A86" s="1"/>
      <c r="B86" s="1" t="s">
        <v>262</v>
      </c>
      <c r="C86" s="1" t="s">
        <v>781</v>
      </c>
    </row>
    <row r="87" spans="1:3" ht="12" customHeight="1" x14ac:dyDescent="0.25">
      <c r="A87" s="1"/>
      <c r="B87" s="1" t="s">
        <v>265</v>
      </c>
      <c r="C87" s="1" t="s">
        <v>782</v>
      </c>
    </row>
    <row r="88" spans="1:3" ht="12" customHeight="1" x14ac:dyDescent="0.25">
      <c r="A88" s="1"/>
      <c r="B88" s="1" t="s">
        <v>269</v>
      </c>
      <c r="C88" s="1" t="s">
        <v>783</v>
      </c>
    </row>
    <row r="89" spans="1:3" ht="12" customHeight="1" x14ac:dyDescent="0.25">
      <c r="A89" s="1"/>
      <c r="B89" s="1" t="s">
        <v>271</v>
      </c>
      <c r="C89" s="1" t="s">
        <v>784</v>
      </c>
    </row>
    <row r="90" spans="1:3" ht="12" customHeight="1" x14ac:dyDescent="0.25">
      <c r="A90" s="1"/>
      <c r="B90" s="1" t="s">
        <v>273</v>
      </c>
      <c r="C90" s="1" t="s">
        <v>785</v>
      </c>
    </row>
    <row r="91" spans="1:3" ht="12" customHeight="1" x14ac:dyDescent="0.25">
      <c r="A91" s="1"/>
      <c r="B91" s="1" t="s">
        <v>275</v>
      </c>
      <c r="C91" s="1" t="s">
        <v>786</v>
      </c>
    </row>
    <row r="92" spans="1:3" ht="12" customHeight="1" x14ac:dyDescent="0.25">
      <c r="A92" s="1"/>
      <c r="B92" s="1" t="s">
        <v>279</v>
      </c>
      <c r="C92" s="1" t="s">
        <v>787</v>
      </c>
    </row>
    <row r="93" spans="1:3" ht="12" customHeight="1" x14ac:dyDescent="0.25">
      <c r="A93" s="1"/>
      <c r="B93" s="1" t="s">
        <v>281</v>
      </c>
      <c r="C93" s="1" t="s">
        <v>788</v>
      </c>
    </row>
    <row r="94" spans="1:3" ht="12" customHeight="1" x14ac:dyDescent="0.25">
      <c r="A94" s="1"/>
      <c r="B94" s="1" t="s">
        <v>283</v>
      </c>
      <c r="C94" s="1" t="s">
        <v>789</v>
      </c>
    </row>
    <row r="95" spans="1:3" ht="12" customHeight="1" x14ac:dyDescent="0.25">
      <c r="A95" s="1"/>
      <c r="B95" s="1" t="s">
        <v>285</v>
      </c>
      <c r="C95" s="1" t="s">
        <v>790</v>
      </c>
    </row>
    <row r="96" spans="1:3" ht="12" customHeight="1" x14ac:dyDescent="0.25">
      <c r="A96" s="1"/>
      <c r="B96" s="1" t="s">
        <v>287</v>
      </c>
      <c r="C96" s="1" t="s">
        <v>791</v>
      </c>
    </row>
    <row r="97" spans="1:3" ht="12" customHeight="1" x14ac:dyDescent="0.25">
      <c r="A97" s="1"/>
      <c r="B97" s="1" t="s">
        <v>289</v>
      </c>
      <c r="C97" s="1" t="s">
        <v>792</v>
      </c>
    </row>
    <row r="98" spans="1:3" ht="12" customHeight="1" x14ac:dyDescent="0.25">
      <c r="A98" s="1"/>
      <c r="B98" s="1" t="s">
        <v>291</v>
      </c>
      <c r="C98" s="1" t="s">
        <v>793</v>
      </c>
    </row>
    <row r="99" spans="1:3" ht="12" customHeight="1" x14ac:dyDescent="0.25">
      <c r="A99" s="1"/>
      <c r="B99" s="1" t="s">
        <v>293</v>
      </c>
      <c r="C99" s="1" t="s">
        <v>794</v>
      </c>
    </row>
    <row r="100" spans="1:3" ht="12" customHeight="1" x14ac:dyDescent="0.25">
      <c r="A100" s="1"/>
      <c r="B100" s="1" t="s">
        <v>295</v>
      </c>
      <c r="C100" s="1" t="s">
        <v>795</v>
      </c>
    </row>
    <row r="101" spans="1:3" ht="12" customHeight="1" x14ac:dyDescent="0.25">
      <c r="A101" s="1"/>
      <c r="B101" s="1" t="s">
        <v>297</v>
      </c>
      <c r="C101" s="1" t="s">
        <v>796</v>
      </c>
    </row>
    <row r="102" spans="1:3" ht="12" customHeight="1" x14ac:dyDescent="0.25">
      <c r="A102" s="1"/>
      <c r="B102" s="1" t="s">
        <v>299</v>
      </c>
      <c r="C102" s="1" t="s">
        <v>797</v>
      </c>
    </row>
    <row r="103" spans="1:3" ht="12" customHeight="1" x14ac:dyDescent="0.25">
      <c r="A103" s="1"/>
      <c r="B103" s="1" t="s">
        <v>301</v>
      </c>
      <c r="C103" s="1" t="s">
        <v>798</v>
      </c>
    </row>
    <row r="104" spans="1:3" ht="12" customHeight="1" x14ac:dyDescent="0.25">
      <c r="A104" s="1"/>
      <c r="B104" s="1" t="s">
        <v>306</v>
      </c>
      <c r="C104" s="1" t="s">
        <v>799</v>
      </c>
    </row>
    <row r="105" spans="1:3" ht="12" customHeight="1" x14ac:dyDescent="0.25">
      <c r="A105" s="1"/>
      <c r="B105" s="1" t="s">
        <v>308</v>
      </c>
      <c r="C105" s="1" t="s">
        <v>800</v>
      </c>
    </row>
    <row r="106" spans="1:3" ht="12" customHeight="1" x14ac:dyDescent="0.25">
      <c r="A106" s="1"/>
      <c r="B106" s="1" t="s">
        <v>310</v>
      </c>
      <c r="C106" s="1" t="s">
        <v>801</v>
      </c>
    </row>
    <row r="107" spans="1:3" ht="12" customHeight="1" x14ac:dyDescent="0.25">
      <c r="A107" s="1"/>
      <c r="B107" s="1" t="s">
        <v>312</v>
      </c>
      <c r="C107" s="1" t="s">
        <v>802</v>
      </c>
    </row>
    <row r="108" spans="1:3" ht="12" customHeight="1" x14ac:dyDescent="0.25">
      <c r="A108" s="1"/>
      <c r="B108" s="1" t="s">
        <v>314</v>
      </c>
      <c r="C108" s="1" t="s">
        <v>803</v>
      </c>
    </row>
    <row r="109" spans="1:3" ht="12" customHeight="1" x14ac:dyDescent="0.25">
      <c r="A109" s="1"/>
      <c r="B109" s="1" t="s">
        <v>316</v>
      </c>
      <c r="C109" s="1" t="s">
        <v>804</v>
      </c>
    </row>
    <row r="110" spans="1:3" ht="12" customHeight="1" x14ac:dyDescent="0.25">
      <c r="A110" s="1"/>
      <c r="B110" s="1" t="s">
        <v>318</v>
      </c>
      <c r="C110" s="1" t="s">
        <v>805</v>
      </c>
    </row>
    <row r="111" spans="1:3" ht="12" customHeight="1" x14ac:dyDescent="0.25">
      <c r="A111" s="1"/>
      <c r="B111" s="1" t="s">
        <v>322</v>
      </c>
      <c r="C111" s="1" t="s">
        <v>806</v>
      </c>
    </row>
    <row r="112" spans="1:3" ht="12" customHeight="1" x14ac:dyDescent="0.25">
      <c r="A112" s="1"/>
      <c r="B112" s="1" t="s">
        <v>324</v>
      </c>
      <c r="C112" s="1" t="s">
        <v>807</v>
      </c>
    </row>
    <row r="113" spans="1:3" ht="12" customHeight="1" x14ac:dyDescent="0.25">
      <c r="A113" s="1"/>
      <c r="B113" s="1" t="s">
        <v>328</v>
      </c>
      <c r="C113" s="1" t="s">
        <v>808</v>
      </c>
    </row>
    <row r="114" spans="1:3" ht="12" customHeight="1" x14ac:dyDescent="0.25">
      <c r="A114" s="1"/>
      <c r="B114" s="1" t="s">
        <v>809</v>
      </c>
      <c r="C114" s="1" t="s">
        <v>810</v>
      </c>
    </row>
    <row r="115" spans="1:3" ht="12" customHeight="1" x14ac:dyDescent="0.25">
      <c r="A115" s="1"/>
      <c r="B115" s="1" t="s">
        <v>332</v>
      </c>
      <c r="C115" s="1" t="s">
        <v>811</v>
      </c>
    </row>
    <row r="116" spans="1:3" ht="12" customHeight="1" x14ac:dyDescent="0.25">
      <c r="A116" s="1"/>
      <c r="B116" s="1" t="s">
        <v>334</v>
      </c>
      <c r="C116" s="1" t="s">
        <v>812</v>
      </c>
    </row>
    <row r="117" spans="1:3" ht="12" customHeight="1" x14ac:dyDescent="0.25">
      <c r="A117" s="1"/>
      <c r="B117" s="1" t="s">
        <v>336</v>
      </c>
      <c r="C117" s="1" t="s">
        <v>813</v>
      </c>
    </row>
    <row r="118" spans="1:3" ht="12" customHeight="1" x14ac:dyDescent="0.25">
      <c r="A118" s="1"/>
      <c r="B118" s="1" t="s">
        <v>338</v>
      </c>
      <c r="C118" s="1" t="s">
        <v>814</v>
      </c>
    </row>
    <row r="119" spans="1:3" ht="12" customHeight="1" x14ac:dyDescent="0.25">
      <c r="A119" s="1"/>
      <c r="B119" s="1" t="s">
        <v>342</v>
      </c>
      <c r="C119" s="1" t="s">
        <v>815</v>
      </c>
    </row>
    <row r="120" spans="1:3" ht="12" customHeight="1" x14ac:dyDescent="0.25">
      <c r="A120" s="1"/>
      <c r="B120" s="1" t="s">
        <v>344</v>
      </c>
      <c r="C120" s="1" t="s">
        <v>816</v>
      </c>
    </row>
    <row r="121" spans="1:3" ht="12" customHeight="1" x14ac:dyDescent="0.25">
      <c r="A121" s="1"/>
      <c r="B121" s="1" t="s">
        <v>22</v>
      </c>
      <c r="C121" s="1" t="s">
        <v>817</v>
      </c>
    </row>
    <row r="122" spans="1:3" ht="12" customHeight="1" x14ac:dyDescent="0.25">
      <c r="A122" s="1"/>
      <c r="B122" s="1" t="s">
        <v>346</v>
      </c>
      <c r="C122" s="1" t="s">
        <v>818</v>
      </c>
    </row>
    <row r="123" spans="1:3" ht="12" customHeight="1" x14ac:dyDescent="0.25">
      <c r="A123" s="1"/>
      <c r="B123" s="1" t="s">
        <v>348</v>
      </c>
      <c r="C123" s="1" t="s">
        <v>819</v>
      </c>
    </row>
    <row r="124" spans="1:3" ht="12" customHeight="1" x14ac:dyDescent="0.25">
      <c r="A124" s="1"/>
      <c r="B124" s="1" t="s">
        <v>350</v>
      </c>
      <c r="C124" s="1" t="s">
        <v>820</v>
      </c>
    </row>
    <row r="125" spans="1:3" ht="12" customHeight="1" x14ac:dyDescent="0.25">
      <c r="A125" s="1"/>
      <c r="B125" s="1" t="s">
        <v>352</v>
      </c>
      <c r="C125" s="1" t="s">
        <v>821</v>
      </c>
    </row>
    <row r="126" spans="1:3" ht="12" customHeight="1" x14ac:dyDescent="0.25">
      <c r="A126" s="1"/>
      <c r="B126" s="1" t="s">
        <v>356</v>
      </c>
      <c r="C126" s="1" t="s">
        <v>822</v>
      </c>
    </row>
    <row r="127" spans="1:3" ht="12" customHeight="1" x14ac:dyDescent="0.25">
      <c r="A127" s="1"/>
      <c r="B127" s="1" t="s">
        <v>358</v>
      </c>
      <c r="C127" s="1" t="s">
        <v>823</v>
      </c>
    </row>
    <row r="128" spans="1:3" ht="12" customHeight="1" x14ac:dyDescent="0.25">
      <c r="A128" s="1"/>
      <c r="B128" s="1" t="s">
        <v>360</v>
      </c>
      <c r="C128" s="1" t="s">
        <v>824</v>
      </c>
    </row>
    <row r="129" spans="1:3" ht="12" customHeight="1" x14ac:dyDescent="0.25">
      <c r="A129" s="1"/>
      <c r="B129" s="1" t="s">
        <v>362</v>
      </c>
      <c r="C129" s="1" t="s">
        <v>825</v>
      </c>
    </row>
    <row r="130" spans="1:3" ht="12" customHeight="1" x14ac:dyDescent="0.25">
      <c r="A130" s="1"/>
      <c r="B130" s="1" t="s">
        <v>826</v>
      </c>
      <c r="C130" s="1" t="s">
        <v>827</v>
      </c>
    </row>
    <row r="131" spans="1:3" ht="12" customHeight="1" x14ac:dyDescent="0.25">
      <c r="A131" s="1"/>
      <c r="B131" s="1" t="s">
        <v>828</v>
      </c>
      <c r="C131" s="1" t="s">
        <v>829</v>
      </c>
    </row>
    <row r="132" spans="1:3" ht="12" customHeight="1" x14ac:dyDescent="0.25">
      <c r="A132" s="1"/>
      <c r="B132" s="1" t="s">
        <v>370</v>
      </c>
      <c r="C132" s="1" t="s">
        <v>830</v>
      </c>
    </row>
    <row r="133" spans="1:3" ht="12" customHeight="1" x14ac:dyDescent="0.25">
      <c r="A133" s="1"/>
      <c r="B133" s="1" t="s">
        <v>372</v>
      </c>
      <c r="C133" s="1" t="s">
        <v>831</v>
      </c>
    </row>
    <row r="134" spans="1:3" ht="12" customHeight="1" x14ac:dyDescent="0.25">
      <c r="A134" s="1"/>
      <c r="B134" s="1" t="s">
        <v>374</v>
      </c>
      <c r="C134" s="1" t="s">
        <v>832</v>
      </c>
    </row>
    <row r="135" spans="1:3" ht="12" customHeight="1" x14ac:dyDescent="0.25">
      <c r="A135" s="1"/>
      <c r="B135" s="1" t="s">
        <v>376</v>
      </c>
      <c r="C135" s="1" t="s">
        <v>833</v>
      </c>
    </row>
    <row r="136" spans="1:3" ht="12" customHeight="1" x14ac:dyDescent="0.25">
      <c r="A136" s="1"/>
      <c r="B136" s="1" t="s">
        <v>834</v>
      </c>
      <c r="C136" s="1" t="s">
        <v>835</v>
      </c>
    </row>
    <row r="137" spans="1:3" ht="12" customHeight="1" x14ac:dyDescent="0.25">
      <c r="A137" s="1"/>
      <c r="B137" s="1" t="s">
        <v>379</v>
      </c>
      <c r="C137" s="1" t="s">
        <v>836</v>
      </c>
    </row>
    <row r="138" spans="1:3" ht="12" customHeight="1" x14ac:dyDescent="0.25">
      <c r="A138" s="1"/>
      <c r="B138" s="1" t="s">
        <v>381</v>
      </c>
      <c r="C138" s="1" t="s">
        <v>837</v>
      </c>
    </row>
    <row r="139" spans="1:3" ht="12" customHeight="1" x14ac:dyDescent="0.25">
      <c r="A139" s="1"/>
      <c r="B139" s="1" t="s">
        <v>383</v>
      </c>
      <c r="C139" s="1" t="s">
        <v>838</v>
      </c>
    </row>
    <row r="140" spans="1:3" ht="12" customHeight="1" x14ac:dyDescent="0.25">
      <c r="A140" s="1"/>
      <c r="B140" s="1" t="s">
        <v>385</v>
      </c>
      <c r="C140" s="1" t="s">
        <v>839</v>
      </c>
    </row>
    <row r="141" spans="1:3" ht="12" customHeight="1" x14ac:dyDescent="0.25">
      <c r="A141" s="1"/>
      <c r="B141" s="1" t="s">
        <v>387</v>
      </c>
      <c r="C141" s="1" t="s">
        <v>840</v>
      </c>
    </row>
    <row r="142" spans="1:3" ht="12" customHeight="1" x14ac:dyDescent="0.25">
      <c r="A142" s="1"/>
      <c r="B142" s="1" t="s">
        <v>390</v>
      </c>
      <c r="C142" s="1" t="s">
        <v>841</v>
      </c>
    </row>
    <row r="143" spans="1:3" ht="12" customHeight="1" x14ac:dyDescent="0.25">
      <c r="A143" s="1"/>
      <c r="B143" s="1" t="s">
        <v>392</v>
      </c>
      <c r="C143" s="1" t="s">
        <v>842</v>
      </c>
    </row>
    <row r="144" spans="1:3" ht="12" customHeight="1" x14ac:dyDescent="0.25">
      <c r="A144" s="1"/>
      <c r="B144" s="1" t="s">
        <v>396</v>
      </c>
      <c r="C144" s="1" t="s">
        <v>843</v>
      </c>
    </row>
    <row r="145" spans="1:3" ht="12" customHeight="1" x14ac:dyDescent="0.25">
      <c r="A145" s="1"/>
      <c r="B145" s="1" t="s">
        <v>400</v>
      </c>
      <c r="C145" s="1" t="s">
        <v>844</v>
      </c>
    </row>
    <row r="146" spans="1:3" ht="12" customHeight="1" x14ac:dyDescent="0.25">
      <c r="A146" s="1"/>
      <c r="B146" s="1" t="s">
        <v>402</v>
      </c>
      <c r="C146" s="1" t="s">
        <v>845</v>
      </c>
    </row>
    <row r="147" spans="1:3" ht="12" customHeight="1" x14ac:dyDescent="0.25">
      <c r="A147" s="1"/>
      <c r="B147" s="1" t="s">
        <v>404</v>
      </c>
      <c r="C147" s="1" t="s">
        <v>846</v>
      </c>
    </row>
    <row r="148" spans="1:3" ht="12" customHeight="1" x14ac:dyDescent="0.25">
      <c r="A148" s="1"/>
      <c r="B148" s="1" t="s">
        <v>408</v>
      </c>
      <c r="C148" s="1" t="s">
        <v>847</v>
      </c>
    </row>
    <row r="149" spans="1:3" ht="12" customHeight="1" x14ac:dyDescent="0.25">
      <c r="A149" s="1"/>
      <c r="B149" s="1" t="s">
        <v>410</v>
      </c>
      <c r="C149" s="1" t="s">
        <v>848</v>
      </c>
    </row>
    <row r="150" spans="1:3" ht="12" customHeight="1" x14ac:dyDescent="0.25">
      <c r="A150" s="1"/>
      <c r="B150" s="1" t="s">
        <v>415</v>
      </c>
      <c r="C150" s="1" t="s">
        <v>849</v>
      </c>
    </row>
    <row r="151" spans="1:3" ht="12" customHeight="1" x14ac:dyDescent="0.25">
      <c r="A151" s="1"/>
      <c r="B151" s="1" t="s">
        <v>417</v>
      </c>
      <c r="C151" s="1" t="s">
        <v>850</v>
      </c>
    </row>
    <row r="152" spans="1:3" ht="12" customHeight="1" x14ac:dyDescent="0.25">
      <c r="A152" s="1"/>
      <c r="B152" s="1" t="s">
        <v>419</v>
      </c>
      <c r="C152" s="1" t="s">
        <v>851</v>
      </c>
    </row>
    <row r="153" spans="1:3" ht="12" customHeight="1" x14ac:dyDescent="0.25">
      <c r="A153" s="1"/>
      <c r="B153" s="1" t="s">
        <v>852</v>
      </c>
      <c r="C153" s="1" t="s">
        <v>853</v>
      </c>
    </row>
    <row r="154" spans="1:3" ht="12" customHeight="1" x14ac:dyDescent="0.25">
      <c r="A154" s="1"/>
      <c r="B154" s="1" t="s">
        <v>422</v>
      </c>
      <c r="C154" s="1" t="s">
        <v>854</v>
      </c>
    </row>
    <row r="155" spans="1:3" ht="12" customHeight="1" x14ac:dyDescent="0.25">
      <c r="A155" s="1"/>
      <c r="B155" s="1" t="s">
        <v>424</v>
      </c>
      <c r="C155" s="1" t="s">
        <v>855</v>
      </c>
    </row>
    <row r="156" spans="1:3" ht="12" customHeight="1" x14ac:dyDescent="0.25">
      <c r="A156" s="1"/>
      <c r="B156" s="1" t="s">
        <v>426</v>
      </c>
      <c r="C156" s="1" t="s">
        <v>856</v>
      </c>
    </row>
    <row r="157" spans="1:3" ht="12" customHeight="1" x14ac:dyDescent="0.25">
      <c r="A157" s="1"/>
      <c r="B157" s="1" t="s">
        <v>428</v>
      </c>
      <c r="C157" s="1" t="s">
        <v>857</v>
      </c>
    </row>
    <row r="158" spans="1:3" ht="12" customHeight="1" x14ac:dyDescent="0.25">
      <c r="A158" s="1"/>
      <c r="B158" s="1" t="s">
        <v>430</v>
      </c>
      <c r="C158" s="1" t="s">
        <v>858</v>
      </c>
    </row>
    <row r="159" spans="1:3" ht="12" customHeight="1" x14ac:dyDescent="0.25">
      <c r="A159" s="1"/>
      <c r="B159" s="1" t="s">
        <v>432</v>
      </c>
      <c r="C159" s="1" t="s">
        <v>859</v>
      </c>
    </row>
    <row r="160" spans="1:3" ht="12" customHeight="1" x14ac:dyDescent="0.25">
      <c r="A160" s="1"/>
      <c r="B160" s="1" t="s">
        <v>436</v>
      </c>
      <c r="C160" s="1" t="s">
        <v>860</v>
      </c>
    </row>
    <row r="161" spans="1:3" ht="12" customHeight="1" x14ac:dyDescent="0.25">
      <c r="A161" s="1"/>
      <c r="B161" s="1" t="s">
        <v>438</v>
      </c>
      <c r="C161" s="1" t="s">
        <v>861</v>
      </c>
    </row>
    <row r="162" spans="1:3" ht="12" customHeight="1" x14ac:dyDescent="0.25">
      <c r="A162" s="1"/>
      <c r="B162" s="1" t="s">
        <v>21</v>
      </c>
      <c r="C162" s="1" t="s">
        <v>862</v>
      </c>
    </row>
    <row r="163" spans="1:3" ht="12" customHeight="1" x14ac:dyDescent="0.25">
      <c r="A163" s="1"/>
      <c r="B163" s="1" t="s">
        <v>443</v>
      </c>
      <c r="C163" s="1" t="s">
        <v>863</v>
      </c>
    </row>
    <row r="164" spans="1:3" ht="12" customHeight="1" x14ac:dyDescent="0.25">
      <c r="A164" s="1"/>
      <c r="B164" s="1" t="s">
        <v>864</v>
      </c>
      <c r="C164" s="1" t="s">
        <v>865</v>
      </c>
    </row>
    <row r="165" spans="1:3" ht="12" customHeight="1" x14ac:dyDescent="0.25">
      <c r="A165" s="1"/>
      <c r="B165" s="1" t="s">
        <v>447</v>
      </c>
      <c r="C165" s="1" t="s">
        <v>866</v>
      </c>
    </row>
    <row r="166" spans="1:3" ht="12" customHeight="1" x14ac:dyDescent="0.25">
      <c r="A166" s="1"/>
      <c r="B166" s="1" t="s">
        <v>449</v>
      </c>
      <c r="C166" s="1" t="s">
        <v>867</v>
      </c>
    </row>
    <row r="167" spans="1:3" ht="12" customHeight="1" x14ac:dyDescent="0.25">
      <c r="A167" s="1"/>
      <c r="B167" s="1" t="s">
        <v>451</v>
      </c>
      <c r="C167" s="1" t="s">
        <v>868</v>
      </c>
    </row>
    <row r="168" spans="1:3" ht="12" customHeight="1" x14ac:dyDescent="0.25">
      <c r="A168" s="1"/>
      <c r="B168" s="1" t="s">
        <v>19</v>
      </c>
      <c r="C168" s="1" t="s">
        <v>869</v>
      </c>
    </row>
    <row r="169" spans="1:3" ht="12" customHeight="1" x14ac:dyDescent="0.25">
      <c r="A169" s="1"/>
      <c r="B169" s="1" t="s">
        <v>454</v>
      </c>
      <c r="C169" s="1" t="s">
        <v>870</v>
      </c>
    </row>
    <row r="170" spans="1:3" ht="12" customHeight="1" x14ac:dyDescent="0.25">
      <c r="A170" s="1"/>
      <c r="B170" s="1" t="s">
        <v>456</v>
      </c>
      <c r="C170" s="1" t="s">
        <v>871</v>
      </c>
    </row>
    <row r="171" spans="1:3" ht="12" customHeight="1" x14ac:dyDescent="0.25">
      <c r="A171" s="1"/>
      <c r="B171" s="1" t="s">
        <v>458</v>
      </c>
      <c r="C171" s="1" t="s">
        <v>872</v>
      </c>
    </row>
    <row r="172" spans="1:3" ht="12" customHeight="1" x14ac:dyDescent="0.25">
      <c r="A172" s="1"/>
      <c r="B172" s="1" t="s">
        <v>17</v>
      </c>
      <c r="C172" s="1" t="s">
        <v>873</v>
      </c>
    </row>
    <row r="173" spans="1:3" ht="12" customHeight="1" x14ac:dyDescent="0.25">
      <c r="A173" s="1"/>
      <c r="B173" s="1" t="s">
        <v>874</v>
      </c>
      <c r="C173" s="1" t="s">
        <v>875</v>
      </c>
    </row>
    <row r="174" spans="1:3" ht="12" customHeight="1" x14ac:dyDescent="0.25">
      <c r="A174" s="1"/>
      <c r="B174" s="1" t="s">
        <v>462</v>
      </c>
      <c r="C174" s="1" t="s">
        <v>876</v>
      </c>
    </row>
    <row r="175" spans="1:3" ht="12" customHeight="1" x14ac:dyDescent="0.25">
      <c r="A175" s="1"/>
      <c r="B175" s="1" t="s">
        <v>877</v>
      </c>
      <c r="C175" s="1" t="s">
        <v>878</v>
      </c>
    </row>
    <row r="176" spans="1:3" ht="12" customHeight="1" x14ac:dyDescent="0.25">
      <c r="A176" s="1"/>
      <c r="B176" s="1" t="s">
        <v>465</v>
      </c>
      <c r="C176" s="1" t="s">
        <v>879</v>
      </c>
    </row>
    <row r="177" spans="1:3" ht="12" customHeight="1" x14ac:dyDescent="0.25">
      <c r="A177" s="1"/>
      <c r="B177" s="1" t="s">
        <v>880</v>
      </c>
      <c r="C177" s="1" t="s">
        <v>881</v>
      </c>
    </row>
    <row r="178" spans="1:3" ht="12" customHeight="1" x14ac:dyDescent="0.25">
      <c r="A178" s="1"/>
      <c r="B178" s="1" t="s">
        <v>467</v>
      </c>
      <c r="C178" s="1" t="s">
        <v>882</v>
      </c>
    </row>
    <row r="179" spans="1:3" ht="12" customHeight="1" x14ac:dyDescent="0.25">
      <c r="A179" s="1"/>
      <c r="B179" s="1" t="s">
        <v>468</v>
      </c>
      <c r="C179" s="1" t="s">
        <v>883</v>
      </c>
    </row>
    <row r="180" spans="1:3" ht="12" customHeight="1" x14ac:dyDescent="0.25">
      <c r="A180" s="1"/>
      <c r="B180" s="1" t="s">
        <v>472</v>
      </c>
      <c r="C180" s="1" t="s">
        <v>884</v>
      </c>
    </row>
    <row r="181" spans="1:3" ht="12" customHeight="1" x14ac:dyDescent="0.25">
      <c r="A181" s="1"/>
      <c r="B181" s="1" t="s">
        <v>474</v>
      </c>
      <c r="C181" s="1" t="s">
        <v>885</v>
      </c>
    </row>
    <row r="182" spans="1:3" ht="12" customHeight="1" x14ac:dyDescent="0.25">
      <c r="A182" s="1"/>
      <c r="B182" s="1" t="s">
        <v>476</v>
      </c>
      <c r="C182" s="1" t="s">
        <v>886</v>
      </c>
    </row>
    <row r="183" spans="1:3" ht="12" customHeight="1" x14ac:dyDescent="0.25">
      <c r="A183" s="1"/>
      <c r="B183" s="1" t="s">
        <v>478</v>
      </c>
      <c r="C183" s="1" t="s">
        <v>887</v>
      </c>
    </row>
    <row r="184" spans="1:3" ht="12" customHeight="1" x14ac:dyDescent="0.25">
      <c r="A184" s="1"/>
      <c r="B184" s="1" t="s">
        <v>480</v>
      </c>
      <c r="C184" s="1" t="s">
        <v>480</v>
      </c>
    </row>
    <row r="185" spans="1:3" ht="12" customHeight="1" x14ac:dyDescent="0.25">
      <c r="A185" s="1"/>
      <c r="B185" s="1" t="s">
        <v>483</v>
      </c>
      <c r="C185" s="1" t="s">
        <v>888</v>
      </c>
    </row>
    <row r="186" spans="1:3" ht="12" customHeight="1" x14ac:dyDescent="0.25">
      <c r="A186" s="1"/>
      <c r="B186" s="1" t="s">
        <v>485</v>
      </c>
      <c r="C186" s="1" t="s">
        <v>889</v>
      </c>
    </row>
    <row r="187" spans="1:3" ht="12" customHeight="1" x14ac:dyDescent="0.25">
      <c r="A187" s="1"/>
      <c r="B187" s="1" t="s">
        <v>487</v>
      </c>
      <c r="C187" s="1" t="s">
        <v>890</v>
      </c>
    </row>
    <row r="188" spans="1:3" ht="12" customHeight="1" x14ac:dyDescent="0.25">
      <c r="A188" s="1"/>
      <c r="B188" s="1" t="s">
        <v>489</v>
      </c>
      <c r="C188" s="1" t="s">
        <v>891</v>
      </c>
    </row>
    <row r="189" spans="1:3" ht="12" customHeight="1" x14ac:dyDescent="0.25">
      <c r="A189" s="1"/>
      <c r="B189" s="1" t="s">
        <v>491</v>
      </c>
      <c r="C189" s="1" t="s">
        <v>892</v>
      </c>
    </row>
    <row r="190" spans="1:3" ht="12" customHeight="1" x14ac:dyDescent="0.25">
      <c r="A190" s="1"/>
      <c r="B190" s="1" t="s">
        <v>893</v>
      </c>
      <c r="C190" s="1" t="s">
        <v>894</v>
      </c>
    </row>
    <row r="191" spans="1:3" ht="12" customHeight="1" x14ac:dyDescent="0.25">
      <c r="A191" s="1"/>
      <c r="B191" s="1" t="s">
        <v>494</v>
      </c>
      <c r="C191" s="1" t="s">
        <v>895</v>
      </c>
    </row>
    <row r="192" spans="1:3" ht="12" customHeight="1" x14ac:dyDescent="0.25">
      <c r="A192" s="1"/>
      <c r="B192" s="1" t="s">
        <v>496</v>
      </c>
      <c r="C192" s="1" t="s">
        <v>896</v>
      </c>
    </row>
    <row r="193" spans="1:3" ht="12" customHeight="1" x14ac:dyDescent="0.25">
      <c r="A193" s="1"/>
      <c r="B193" s="1" t="s">
        <v>498</v>
      </c>
      <c r="C193" s="1" t="s">
        <v>498</v>
      </c>
    </row>
    <row r="194" spans="1:3" ht="12" customHeight="1" x14ac:dyDescent="0.25">
      <c r="A194" s="1"/>
      <c r="B194" s="1" t="s">
        <v>500</v>
      </c>
      <c r="C194" s="1" t="s">
        <v>897</v>
      </c>
    </row>
    <row r="195" spans="1:3" ht="12" customHeight="1" x14ac:dyDescent="0.25">
      <c r="A195" s="1"/>
      <c r="B195" s="1" t="s">
        <v>502</v>
      </c>
      <c r="C195" s="1" t="s">
        <v>898</v>
      </c>
    </row>
    <row r="196" spans="1:3" ht="12" customHeight="1" x14ac:dyDescent="0.25">
      <c r="A196" s="1"/>
      <c r="B196" s="1" t="s">
        <v>24</v>
      </c>
      <c r="C196" s="1" t="s">
        <v>899</v>
      </c>
    </row>
    <row r="197" spans="1:3" ht="12" customHeight="1" x14ac:dyDescent="0.25">
      <c r="A197" s="1"/>
      <c r="B197" s="1" t="s">
        <v>510</v>
      </c>
      <c r="C197" s="1" t="s">
        <v>900</v>
      </c>
    </row>
    <row r="198" spans="1:3" ht="12" customHeight="1" x14ac:dyDescent="0.25">
      <c r="A198" s="1"/>
      <c r="B198" s="1" t="s">
        <v>25</v>
      </c>
      <c r="C198" s="1" t="s">
        <v>901</v>
      </c>
    </row>
  </sheetData>
  <sheetProtection algorithmName="SHA-512" hashValue="mIrPnIu3nR+HrSePP85kgzLcJIkYP76YZLaAKAg0GRATXv6kH+mkVjMlqFOi28Wia4Tgd4hVBtYq/Ez7xUe+cQ==" saltValue="pkyL86at1gIQ8Kj0W0Vu9Q==" spinCount="100000" sheet="1" formatCells="0" formatColumns="0" formatRows="0" insertColumns="0" insertRows="0" insertHyperlinks="0" deleteColumns="0" deleteRows="0" sort="0" autoFilter="0" pivotTables="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13F47-6AAD-41C0-A3DF-A8A945DCCAB0}">
  <sheetPr codeName="Sheet9"/>
  <dimension ref="A1:N184"/>
  <sheetViews>
    <sheetView topLeftCell="D19" zoomScale="85" zoomScaleNormal="85" workbookViewId="0">
      <selection activeCell="F52" sqref="F52"/>
    </sheetView>
  </sheetViews>
  <sheetFormatPr defaultRowHeight="12" customHeight="1" x14ac:dyDescent="0.25"/>
  <cols>
    <col min="1" max="1" width="14" customWidth="1"/>
    <col min="2" max="2" width="27.5703125" customWidth="1"/>
    <col min="3" max="3" width="42.85546875" customWidth="1"/>
    <col min="4" max="4" width="70" customWidth="1"/>
    <col min="5" max="5" width="73.85546875" customWidth="1"/>
    <col min="6" max="6" width="9.85546875" customWidth="1"/>
    <col min="7" max="7" width="25.140625" customWidth="1"/>
    <col min="9" max="9" width="66.85546875" customWidth="1"/>
    <col min="10" max="10" width="22.140625" customWidth="1"/>
  </cols>
  <sheetData>
    <row r="1" spans="1:10" ht="12" customHeight="1" thickBot="1" x14ac:dyDescent="0.3">
      <c r="A1" s="8" t="s">
        <v>547</v>
      </c>
      <c r="B1" s="9" t="s">
        <v>549</v>
      </c>
      <c r="C1" s="9" t="s">
        <v>548</v>
      </c>
      <c r="D1" s="9" t="s">
        <v>1189</v>
      </c>
      <c r="E1" s="9" t="s">
        <v>550</v>
      </c>
      <c r="F1" s="178"/>
      <c r="G1" s="105" t="s">
        <v>954</v>
      </c>
      <c r="I1" s="155" t="s">
        <v>1181</v>
      </c>
      <c r="J1" s="155" t="s">
        <v>1266</v>
      </c>
    </row>
    <row r="5" spans="1:10" ht="12" customHeight="1" x14ac:dyDescent="0.25">
      <c r="A5" t="s">
        <v>545</v>
      </c>
      <c r="E5" s="1" t="s">
        <v>515</v>
      </c>
    </row>
    <row r="6" spans="1:10" ht="12" customHeight="1" x14ac:dyDescent="0.25">
      <c r="A6" t="s">
        <v>545</v>
      </c>
      <c r="E6" s="1" t="s">
        <v>516</v>
      </c>
    </row>
    <row r="7" spans="1:10" ht="12" customHeight="1" x14ac:dyDescent="0.25">
      <c r="A7" t="s">
        <v>545</v>
      </c>
      <c r="E7" s="1" t="s">
        <v>514</v>
      </c>
    </row>
    <row r="9" spans="1:10" ht="12" customHeight="1" x14ac:dyDescent="0.25">
      <c r="A9" t="s">
        <v>546</v>
      </c>
      <c r="B9" t="str">
        <f>'Company Info, Intended Activity'!G9</f>
        <v>QuestValidityDate</v>
      </c>
      <c r="C9" t="str">
        <f>'Company Info, Intended Activity'!B9</f>
        <v>Questionnaire valid at date (date of submission)</v>
      </c>
      <c r="E9" s="115">
        <f ca="1">TODAY()-93</f>
        <v>44997</v>
      </c>
      <c r="F9" s="115"/>
      <c r="G9" s="116">
        <f ca="1">TODAY()+92</f>
        <v>45182</v>
      </c>
    </row>
    <row r="10" spans="1:10" ht="12" customHeight="1" x14ac:dyDescent="0.25">
      <c r="A10" t="s">
        <v>546</v>
      </c>
      <c r="B10" t="str">
        <f>'Company Info, Intended Activity'!G14</f>
        <v>CompanyDateOfInc</v>
      </c>
      <c r="C10" t="str">
        <f>'Company Info, Intended Activity'!B14</f>
        <v>Date of incorporation</v>
      </c>
      <c r="E10" s="115">
        <v>1</v>
      </c>
      <c r="F10" s="115"/>
      <c r="G10" s="116">
        <f ca="1">TODAY()</f>
        <v>45090</v>
      </c>
    </row>
    <row r="11" spans="1:10" ht="12" customHeight="1" x14ac:dyDescent="0.25">
      <c r="A11" t="s">
        <v>546</v>
      </c>
    </row>
    <row r="12" spans="1:10" ht="12" customHeight="1" x14ac:dyDescent="0.25">
      <c r="A12" t="s">
        <v>546</v>
      </c>
      <c r="B12" t="str">
        <f>'Company Info, Intended Activity'!G22</f>
        <v>CompanyLegalType</v>
      </c>
      <c r="C12" t="str">
        <f>'Company Info, Intended Activity'!B22</f>
        <v>LEGAL ENTITY TYPE  (Please check the row 54 for required documentation based on the selected legal type, entity and account type)</v>
      </c>
      <c r="E12" s="2" t="s">
        <v>1172</v>
      </c>
      <c r="F12" s="151"/>
      <c r="I12" s="1" t="s">
        <v>1277</v>
      </c>
    </row>
    <row r="13" spans="1:10" ht="12" customHeight="1" x14ac:dyDescent="0.25">
      <c r="A13" t="s">
        <v>546</v>
      </c>
      <c r="B13" t="str">
        <f t="shared" ref="B13:C15" si="0">B12</f>
        <v>CompanyLegalType</v>
      </c>
      <c r="C13" t="str">
        <f t="shared" si="0"/>
        <v>LEGAL ENTITY TYPE  (Please check the row 54 for required documentation based on the selected legal type, entity and account type)</v>
      </c>
      <c r="E13" s="2" t="s">
        <v>1174</v>
      </c>
      <c r="F13" s="151"/>
      <c r="I13" s="1" t="s">
        <v>1277</v>
      </c>
    </row>
    <row r="14" spans="1:10" ht="12" customHeight="1" x14ac:dyDescent="0.25">
      <c r="A14" t="s">
        <v>546</v>
      </c>
      <c r="B14" t="str">
        <f t="shared" si="0"/>
        <v>CompanyLegalType</v>
      </c>
      <c r="C14" t="str">
        <f t="shared" si="0"/>
        <v>LEGAL ENTITY TYPE  (Please check the row 54 for required documentation based on the selected legal type, entity and account type)</v>
      </c>
      <c r="E14" s="2" t="s">
        <v>1173</v>
      </c>
      <c r="F14" s="151"/>
      <c r="I14" s="1" t="s">
        <v>1277</v>
      </c>
    </row>
    <row r="15" spans="1:10" ht="12" customHeight="1" x14ac:dyDescent="0.25">
      <c r="A15" t="s">
        <v>546</v>
      </c>
      <c r="B15" t="str">
        <f t="shared" si="0"/>
        <v>CompanyLegalType</v>
      </c>
      <c r="C15" t="str">
        <f t="shared" si="0"/>
        <v>LEGAL ENTITY TYPE  (Please check the row 54 for required documentation based on the selected legal type, entity and account type)</v>
      </c>
      <c r="E15" s="2" t="s">
        <v>536</v>
      </c>
      <c r="F15" s="151"/>
      <c r="I15" s="1" t="s">
        <v>1278</v>
      </c>
    </row>
    <row r="16" spans="1:10" ht="12" customHeight="1" x14ac:dyDescent="0.25">
      <c r="A16" t="s">
        <v>546</v>
      </c>
      <c r="B16" t="str">
        <f>B14</f>
        <v>CompanyLegalType</v>
      </c>
      <c r="C16" t="str">
        <f>C14</f>
        <v>LEGAL ENTITY TYPE  (Please check the row 54 for required documentation based on the selected legal type, entity and account type)</v>
      </c>
      <c r="E16" s="2" t="s">
        <v>1122</v>
      </c>
      <c r="F16" s="151"/>
      <c r="I16" s="1" t="s">
        <v>1276</v>
      </c>
    </row>
    <row r="17" spans="1:9" ht="12" customHeight="1" x14ac:dyDescent="0.25">
      <c r="A17" t="s">
        <v>546</v>
      </c>
      <c r="B17" t="str">
        <f>B15</f>
        <v>CompanyLegalType</v>
      </c>
      <c r="C17" t="str">
        <f>C15</f>
        <v>LEGAL ENTITY TYPE  (Please check the row 54 for required documentation based on the selected legal type, entity and account type)</v>
      </c>
      <c r="E17" s="2" t="s">
        <v>513</v>
      </c>
      <c r="F17" s="151"/>
      <c r="I17" s="1" t="s">
        <v>1277</v>
      </c>
    </row>
    <row r="18" spans="1:9" ht="12" customHeight="1" x14ac:dyDescent="0.25">
      <c r="A18" t="s">
        <v>546</v>
      </c>
      <c r="E18" s="151"/>
      <c r="F18" s="151"/>
    </row>
    <row r="19" spans="1:9" ht="12" customHeight="1" x14ac:dyDescent="0.25">
      <c r="A19" t="s">
        <v>546</v>
      </c>
      <c r="B19" t="str">
        <f>'Company Info, Intended Activity'!G25</f>
        <v>CompanyAccountType</v>
      </c>
      <c r="C19" t="str">
        <f>'Company Info, Intended Activity'!B25</f>
        <v>ACCOUNT TYPE  (Please check the row 54 for required documentation based on the selected legal type, entity and account type)</v>
      </c>
      <c r="E19" s="156" t="s">
        <v>1310</v>
      </c>
      <c r="F19" s="179"/>
      <c r="I19" s="156" t="s">
        <v>1231</v>
      </c>
    </row>
    <row r="20" spans="1:9" ht="12" customHeight="1" x14ac:dyDescent="0.25">
      <c r="A20" t="s">
        <v>546</v>
      </c>
      <c r="B20" t="str">
        <f>B19</f>
        <v>CompanyAccountType</v>
      </c>
      <c r="C20" t="str">
        <f>C19</f>
        <v>ACCOUNT TYPE  (Please check the row 54 for required documentation based on the selected legal type, entity and account type)</v>
      </c>
      <c r="E20" s="157" t="s">
        <v>1309</v>
      </c>
      <c r="F20" s="180"/>
      <c r="I20" s="156" t="s">
        <v>1232</v>
      </c>
    </row>
    <row r="21" spans="1:9" ht="12" customHeight="1" x14ac:dyDescent="0.25">
      <c r="A21" t="s">
        <v>546</v>
      </c>
      <c r="B21" t="str">
        <f t="shared" ref="B21:C22" si="1">B20</f>
        <v>CompanyAccountType</v>
      </c>
      <c r="C21" t="str">
        <f t="shared" si="1"/>
        <v>ACCOUNT TYPE  (Please check the row 54 for required documentation based on the selected legal type, entity and account type)</v>
      </c>
      <c r="E21" s="157" t="s">
        <v>1120</v>
      </c>
      <c r="F21" s="180"/>
      <c r="I21" s="156" t="s">
        <v>1233</v>
      </c>
    </row>
    <row r="22" spans="1:9" ht="12" customHeight="1" x14ac:dyDescent="0.25">
      <c r="A22" t="s">
        <v>546</v>
      </c>
      <c r="B22" t="str">
        <f t="shared" si="1"/>
        <v>CompanyAccountType</v>
      </c>
      <c r="C22" t="str">
        <f t="shared" si="1"/>
        <v>ACCOUNT TYPE  (Please check the row 54 for required documentation based on the selected legal type, entity and account type)</v>
      </c>
      <c r="E22" s="156" t="s">
        <v>1121</v>
      </c>
      <c r="F22" s="179"/>
      <c r="I22" s="156" t="s">
        <v>1234</v>
      </c>
    </row>
    <row r="23" spans="1:9" ht="12" customHeight="1" x14ac:dyDescent="0.25">
      <c r="A23" t="s">
        <v>546</v>
      </c>
      <c r="B23" t="str">
        <f t="shared" ref="B23:C23" si="2">B22</f>
        <v>CompanyAccountType</v>
      </c>
      <c r="C23" t="str">
        <f t="shared" si="2"/>
        <v>ACCOUNT TYPE  (Please check the row 54 for required documentation based on the selected legal type, entity and account type)</v>
      </c>
      <c r="E23" s="157" t="s">
        <v>1123</v>
      </c>
      <c r="F23" s="180"/>
      <c r="I23" s="156" t="s">
        <v>1243</v>
      </c>
    </row>
    <row r="24" spans="1:9" ht="12" customHeight="1" x14ac:dyDescent="0.25">
      <c r="A24" t="s">
        <v>546</v>
      </c>
      <c r="B24" t="str">
        <f t="shared" ref="B24:C24" si="3">B23</f>
        <v>CompanyAccountType</v>
      </c>
      <c r="C24" t="str">
        <f t="shared" si="3"/>
        <v>ACCOUNT TYPE  (Please check the row 54 for required documentation based on the selected legal type, entity and account type)</v>
      </c>
      <c r="E24" s="158" t="s">
        <v>1124</v>
      </c>
      <c r="F24" s="181"/>
      <c r="I24" s="156" t="s">
        <v>1235</v>
      </c>
    </row>
    <row r="25" spans="1:9" ht="12" customHeight="1" x14ac:dyDescent="0.25">
      <c r="A25" t="s">
        <v>546</v>
      </c>
      <c r="B25" t="str">
        <f t="shared" ref="B25:C25" si="4">B24</f>
        <v>CompanyAccountType</v>
      </c>
      <c r="C25" t="str">
        <f t="shared" si="4"/>
        <v>ACCOUNT TYPE  (Please check the row 54 for required documentation based on the selected legal type, entity and account type)</v>
      </c>
      <c r="E25" s="157" t="s">
        <v>1187</v>
      </c>
      <c r="F25" s="180"/>
      <c r="I25" s="156" t="s">
        <v>399</v>
      </c>
    </row>
    <row r="26" spans="1:9" ht="12" customHeight="1" x14ac:dyDescent="0.25">
      <c r="A26" t="s">
        <v>546</v>
      </c>
      <c r="B26" t="str">
        <f t="shared" ref="B26:C26" si="5">B25</f>
        <v>CompanyAccountType</v>
      </c>
      <c r="C26" t="str">
        <f t="shared" si="5"/>
        <v>ACCOUNT TYPE  (Please check the row 54 for required documentation based on the selected legal type, entity and account type)</v>
      </c>
      <c r="E26" s="157" t="s">
        <v>1188</v>
      </c>
      <c r="F26" s="180"/>
      <c r="I26" s="156" t="s">
        <v>1236</v>
      </c>
    </row>
    <row r="27" spans="1:9" ht="12" customHeight="1" x14ac:dyDescent="0.25">
      <c r="A27" t="s">
        <v>546</v>
      </c>
      <c r="B27" t="str">
        <f t="shared" ref="B27:C27" si="6">B26</f>
        <v>CompanyAccountType</v>
      </c>
      <c r="C27" t="str">
        <f t="shared" si="6"/>
        <v>ACCOUNT TYPE  (Please check the row 54 for required documentation based on the selected legal type, entity and account type)</v>
      </c>
      <c r="E27" s="157" t="s">
        <v>1177</v>
      </c>
      <c r="F27" s="180"/>
      <c r="I27" s="156" t="s">
        <v>1237</v>
      </c>
    </row>
    <row r="28" spans="1:9" ht="12" customHeight="1" x14ac:dyDescent="0.25">
      <c r="A28" t="s">
        <v>546</v>
      </c>
      <c r="B28" t="str">
        <f t="shared" ref="B28:C28" si="7">B27</f>
        <v>CompanyAccountType</v>
      </c>
      <c r="C28" t="str">
        <f t="shared" si="7"/>
        <v>ACCOUNT TYPE  (Please check the row 54 for required documentation based on the selected legal type, entity and account type)</v>
      </c>
      <c r="E28" s="157" t="s">
        <v>1241</v>
      </c>
      <c r="F28" s="180"/>
      <c r="I28" s="156" t="s">
        <v>1238</v>
      </c>
    </row>
    <row r="29" spans="1:9" ht="12" customHeight="1" x14ac:dyDescent="0.25">
      <c r="A29" t="s">
        <v>546</v>
      </c>
      <c r="B29" t="str">
        <f t="shared" ref="B29:C29" si="8">B28</f>
        <v>CompanyAccountType</v>
      </c>
      <c r="C29" t="str">
        <f t="shared" si="8"/>
        <v>ACCOUNT TYPE  (Please check the row 54 for required documentation based on the selected legal type, entity and account type)</v>
      </c>
      <c r="E29" s="157" t="s">
        <v>1178</v>
      </c>
      <c r="F29" s="180"/>
      <c r="I29" s="156" t="s">
        <v>1239</v>
      </c>
    </row>
    <row r="30" spans="1:9" ht="12" customHeight="1" x14ac:dyDescent="0.25">
      <c r="A30" t="s">
        <v>546</v>
      </c>
      <c r="B30" t="str">
        <f t="shared" ref="B30:C30" si="9">B29</f>
        <v>CompanyAccountType</v>
      </c>
      <c r="C30" t="str">
        <f t="shared" si="9"/>
        <v>ACCOUNT TYPE  (Please check the row 54 for required documentation based on the selected legal type, entity and account type)</v>
      </c>
      <c r="E30" s="157" t="s">
        <v>1312</v>
      </c>
      <c r="F30" s="180"/>
      <c r="I30" s="156" t="s">
        <v>1240</v>
      </c>
    </row>
    <row r="31" spans="1:9" ht="12" customHeight="1" x14ac:dyDescent="0.25">
      <c r="A31" t="s">
        <v>546</v>
      </c>
      <c r="B31" t="str">
        <f t="shared" ref="B31:C31" si="10">B30</f>
        <v>CompanyAccountType</v>
      </c>
      <c r="C31" t="str">
        <f t="shared" si="10"/>
        <v>ACCOUNT TYPE  (Please check the row 54 for required documentation based on the selected legal type, entity and account type)</v>
      </c>
      <c r="E31" s="157" t="s">
        <v>536</v>
      </c>
      <c r="F31" s="180"/>
      <c r="I31" s="156" t="s">
        <v>1275</v>
      </c>
    </row>
    <row r="32" spans="1:9" ht="12" customHeight="1" x14ac:dyDescent="0.25">
      <c r="A32" t="s">
        <v>546</v>
      </c>
      <c r="B32" t="str">
        <f t="shared" ref="B32:C32" si="11">B31</f>
        <v>CompanyAccountType</v>
      </c>
      <c r="C32" t="str">
        <f t="shared" si="11"/>
        <v>ACCOUNT TYPE  (Please check the row 54 for required documentation based on the selected legal type, entity and account type)</v>
      </c>
      <c r="E32" s="157" t="s">
        <v>1122</v>
      </c>
      <c r="F32" s="180"/>
      <c r="I32" s="156" t="s">
        <v>208</v>
      </c>
    </row>
    <row r="33" spans="1:14" ht="12" customHeight="1" x14ac:dyDescent="0.25">
      <c r="A33" t="s">
        <v>546</v>
      </c>
    </row>
    <row r="34" spans="1:14" ht="12" customHeight="1" x14ac:dyDescent="0.25">
      <c r="A34" t="s">
        <v>546</v>
      </c>
      <c r="B34" t="str">
        <f>'Company Info, Intended Activity'!G26</f>
        <v>CompanyBusinessModel</v>
      </c>
      <c r="C34" t="str">
        <f>'Company Info, Intended Activity'!B26</f>
        <v>BUSINESS MODEL (Drop down depends on the selected Account type)</v>
      </c>
      <c r="D34" s="156" t="s">
        <v>1310</v>
      </c>
      <c r="E34" s="2" t="s">
        <v>1190</v>
      </c>
      <c r="F34" s="151">
        <v>1</v>
      </c>
      <c r="G34" t="str">
        <f>IF('Company Info, Intended Activity'!$C$25=FieldValidation!D34,F34,"")</f>
        <v/>
      </c>
      <c r="H34" t="str">
        <f>IF('Company Info, Intended Activity'!$C$25=FieldValidation!D34,E34,"")</f>
        <v/>
      </c>
      <c r="I34" s="156" t="s">
        <v>1332</v>
      </c>
      <c r="J34" s="156" t="s">
        <v>1231</v>
      </c>
      <c r="M34">
        <v>1</v>
      </c>
      <c r="N34" t="e">
        <f t="shared" ref="N34:N49" si="12">VLOOKUP(M34,$G$34:$H$85,2,FALSE)</f>
        <v>#N/A</v>
      </c>
    </row>
    <row r="35" spans="1:14" ht="12" customHeight="1" x14ac:dyDescent="0.25">
      <c r="A35" t="s">
        <v>546</v>
      </c>
      <c r="B35" t="str">
        <f t="shared" ref="B35:B85" si="13">B34</f>
        <v>CompanyBusinessModel</v>
      </c>
      <c r="C35" t="str">
        <f t="shared" ref="C35:D85" si="14">C34</f>
        <v>BUSINESS MODEL (Drop down depends on the selected Account type)</v>
      </c>
      <c r="D35" s="177" t="str">
        <f>D34</f>
        <v>Professional Services Provider (e.g., Legal services, Accounting, etc…)</v>
      </c>
      <c r="E35" s="153" t="s">
        <v>1191</v>
      </c>
      <c r="F35" s="182">
        <v>2</v>
      </c>
      <c r="G35" t="str">
        <f>IF('Company Info, Intended Activity'!$C$25=FieldValidation!D35,F35,"")</f>
        <v/>
      </c>
      <c r="H35" t="str">
        <f>IF('Company Info, Intended Activity'!$C$25=FieldValidation!D35,E35,"")</f>
        <v/>
      </c>
      <c r="I35" s="156" t="s">
        <v>1332</v>
      </c>
      <c r="J35" s="156" t="s">
        <v>1231</v>
      </c>
      <c r="M35">
        <v>2</v>
      </c>
      <c r="N35" t="e">
        <f t="shared" si="12"/>
        <v>#N/A</v>
      </c>
    </row>
    <row r="36" spans="1:14" ht="12" customHeight="1" x14ac:dyDescent="0.25">
      <c r="A36" t="s">
        <v>546</v>
      </c>
      <c r="B36" t="str">
        <f t="shared" si="13"/>
        <v>CompanyBusinessModel</v>
      </c>
      <c r="C36" t="str">
        <f t="shared" si="14"/>
        <v>BUSINESS MODEL (Drop down depends on the selected Account type)</v>
      </c>
      <c r="D36" s="177" t="str">
        <f>D35</f>
        <v>Professional Services Provider (e.g., Legal services, Accounting, etc…)</v>
      </c>
      <c r="E36" s="1" t="s">
        <v>1192</v>
      </c>
      <c r="F36">
        <v>3</v>
      </c>
      <c r="G36" t="str">
        <f>IF('Company Info, Intended Activity'!$C$25=FieldValidation!D36,F36,"")</f>
        <v/>
      </c>
      <c r="H36" t="str">
        <f>IF('Company Info, Intended Activity'!$C$25=FieldValidation!D36,E36,"")</f>
        <v/>
      </c>
      <c r="I36" s="156" t="s">
        <v>1231</v>
      </c>
      <c r="J36" s="156" t="s">
        <v>1231</v>
      </c>
      <c r="M36">
        <v>3</v>
      </c>
      <c r="N36" t="e">
        <f t="shared" si="12"/>
        <v>#N/A</v>
      </c>
    </row>
    <row r="37" spans="1:14" ht="12" customHeight="1" x14ac:dyDescent="0.25">
      <c r="A37" t="s">
        <v>546</v>
      </c>
      <c r="B37" t="str">
        <f t="shared" si="13"/>
        <v>CompanyBusinessModel</v>
      </c>
      <c r="C37" t="str">
        <f t="shared" si="14"/>
        <v>BUSINESS MODEL (Drop down depends on the selected Account type)</v>
      </c>
      <c r="D37" s="177" t="str">
        <f>D36</f>
        <v>Professional Services Provider (e.g., Legal services, Accounting, etc…)</v>
      </c>
      <c r="E37" s="1" t="s">
        <v>1193</v>
      </c>
      <c r="F37">
        <v>4</v>
      </c>
      <c r="G37" t="str">
        <f>IF('Company Info, Intended Activity'!$C$25=FieldValidation!D37,F37,"")</f>
        <v/>
      </c>
      <c r="H37" t="str">
        <f>IF('Company Info, Intended Activity'!$C$25=FieldValidation!D37,E37,"")</f>
        <v/>
      </c>
      <c r="I37" s="156" t="s">
        <v>1231</v>
      </c>
      <c r="J37" s="156" t="s">
        <v>1231</v>
      </c>
      <c r="M37">
        <v>4</v>
      </c>
      <c r="N37" t="e">
        <f t="shared" si="12"/>
        <v>#N/A</v>
      </c>
    </row>
    <row r="38" spans="1:14" ht="12" customHeight="1" x14ac:dyDescent="0.25">
      <c r="A38" t="s">
        <v>546</v>
      </c>
      <c r="B38" t="str">
        <f t="shared" si="13"/>
        <v>CompanyBusinessModel</v>
      </c>
      <c r="C38" t="str">
        <f t="shared" si="14"/>
        <v>BUSINESS MODEL (Drop down depends on the selected Account type)</v>
      </c>
      <c r="D38" s="157" t="s">
        <v>1309</v>
      </c>
      <c r="E38" s="153" t="s">
        <v>1194</v>
      </c>
      <c r="F38" s="182">
        <v>1</v>
      </c>
      <c r="G38" t="str">
        <f>IF('Company Info, Intended Activity'!$C$25=FieldValidation!D38,F38,"")</f>
        <v/>
      </c>
      <c r="H38" t="str">
        <f>IF('Company Info, Intended Activity'!$C$25=FieldValidation!D38,E38,"")</f>
        <v/>
      </c>
      <c r="I38" s="156" t="s">
        <v>1232</v>
      </c>
      <c r="J38" s="156" t="s">
        <v>1232</v>
      </c>
      <c r="M38">
        <v>5</v>
      </c>
      <c r="N38" t="e">
        <f t="shared" si="12"/>
        <v>#N/A</v>
      </c>
    </row>
    <row r="39" spans="1:14" ht="12" customHeight="1" x14ac:dyDescent="0.25">
      <c r="A39" t="s">
        <v>546</v>
      </c>
      <c r="B39" t="str">
        <f t="shared" si="13"/>
        <v>CompanyBusinessModel</v>
      </c>
      <c r="C39" t="str">
        <f t="shared" si="14"/>
        <v>BUSINESS MODEL (Drop down depends on the selected Account type)</v>
      </c>
      <c r="D39" s="177" t="str">
        <f>D38</f>
        <v>Other non-financial company</v>
      </c>
      <c r="E39" s="153" t="s">
        <v>1195</v>
      </c>
      <c r="F39" s="182">
        <v>2</v>
      </c>
      <c r="G39" t="str">
        <f>IF('Company Info, Intended Activity'!$C$25=FieldValidation!D39,F39,"")</f>
        <v/>
      </c>
      <c r="H39" t="str">
        <f>IF('Company Info, Intended Activity'!$C$25=FieldValidation!D39,E39,"")</f>
        <v/>
      </c>
      <c r="I39" s="156" t="s">
        <v>1232</v>
      </c>
      <c r="J39" s="156" t="s">
        <v>1232</v>
      </c>
      <c r="M39">
        <v>6</v>
      </c>
      <c r="N39" t="e">
        <f t="shared" si="12"/>
        <v>#N/A</v>
      </c>
    </row>
    <row r="40" spans="1:14" ht="12" customHeight="1" x14ac:dyDescent="0.25">
      <c r="A40" t="s">
        <v>546</v>
      </c>
      <c r="B40" t="str">
        <f t="shared" si="13"/>
        <v>CompanyBusinessModel</v>
      </c>
      <c r="C40" t="str">
        <f t="shared" si="14"/>
        <v>BUSINESS MODEL (Drop down depends on the selected Account type)</v>
      </c>
      <c r="D40" s="177" t="str">
        <f t="shared" si="14"/>
        <v>Other non-financial company</v>
      </c>
      <c r="E40" s="152" t="s">
        <v>1196</v>
      </c>
      <c r="F40" s="42">
        <v>3</v>
      </c>
      <c r="G40" t="str">
        <f>IF('Company Info, Intended Activity'!$C$25=FieldValidation!D40,F40,"")</f>
        <v/>
      </c>
      <c r="H40" t="str">
        <f>IF('Company Info, Intended Activity'!$C$25=FieldValidation!D40,E40,"")</f>
        <v/>
      </c>
      <c r="I40" s="156" t="s">
        <v>1232</v>
      </c>
      <c r="J40" s="156" t="s">
        <v>1232</v>
      </c>
      <c r="M40">
        <v>7</v>
      </c>
      <c r="N40" t="e">
        <f t="shared" si="12"/>
        <v>#N/A</v>
      </c>
    </row>
    <row r="41" spans="1:14" ht="12" customHeight="1" x14ac:dyDescent="0.25">
      <c r="A41" t="s">
        <v>546</v>
      </c>
      <c r="B41" t="str">
        <f t="shared" si="13"/>
        <v>CompanyBusinessModel</v>
      </c>
      <c r="C41" t="str">
        <f t="shared" si="14"/>
        <v>BUSINESS MODEL (Drop down depends on the selected Account type)</v>
      </c>
      <c r="D41" s="177" t="str">
        <f t="shared" si="14"/>
        <v>Other non-financial company</v>
      </c>
      <c r="E41" s="153" t="s">
        <v>1197</v>
      </c>
      <c r="F41" s="182">
        <v>4</v>
      </c>
      <c r="G41" t="str">
        <f>IF('Company Info, Intended Activity'!$C$25=FieldValidation!D41,F41,"")</f>
        <v/>
      </c>
      <c r="H41" t="str">
        <f>IF('Company Info, Intended Activity'!$C$25=FieldValidation!D41,E41,"")</f>
        <v/>
      </c>
      <c r="I41" s="156" t="s">
        <v>1232</v>
      </c>
      <c r="J41" s="156" t="s">
        <v>1232</v>
      </c>
      <c r="M41">
        <v>8</v>
      </c>
      <c r="N41" t="e">
        <f t="shared" si="12"/>
        <v>#N/A</v>
      </c>
    </row>
    <row r="42" spans="1:14" ht="12" customHeight="1" x14ac:dyDescent="0.25">
      <c r="A42" t="s">
        <v>546</v>
      </c>
      <c r="B42" t="str">
        <f t="shared" si="13"/>
        <v>CompanyBusinessModel</v>
      </c>
      <c r="C42" t="str">
        <f t="shared" si="14"/>
        <v>BUSINESS MODEL (Drop down depends on the selected Account type)</v>
      </c>
      <c r="D42" s="177" t="str">
        <f t="shared" si="14"/>
        <v>Other non-financial company</v>
      </c>
      <c r="E42" s="153" t="s">
        <v>1198</v>
      </c>
      <c r="F42" s="182">
        <v>5</v>
      </c>
      <c r="G42" t="str">
        <f>IF('Company Info, Intended Activity'!$C$25=FieldValidation!D42,F42,"")</f>
        <v/>
      </c>
      <c r="H42" t="str">
        <f>IF('Company Info, Intended Activity'!$C$25=FieldValidation!D42,E42,"")</f>
        <v/>
      </c>
      <c r="I42" s="156" t="s">
        <v>1232</v>
      </c>
      <c r="J42" s="156" t="s">
        <v>1232</v>
      </c>
      <c r="M42">
        <v>9</v>
      </c>
      <c r="N42" t="e">
        <f t="shared" si="12"/>
        <v>#N/A</v>
      </c>
    </row>
    <row r="43" spans="1:14" ht="12" customHeight="1" x14ac:dyDescent="0.25">
      <c r="A43" t="s">
        <v>546</v>
      </c>
      <c r="B43" t="str">
        <f t="shared" si="13"/>
        <v>CompanyBusinessModel</v>
      </c>
      <c r="C43" t="str">
        <f t="shared" si="14"/>
        <v>BUSINESS MODEL (Drop down depends on the selected Account type)</v>
      </c>
      <c r="D43" s="177" t="str">
        <f t="shared" si="14"/>
        <v>Other non-financial company</v>
      </c>
      <c r="E43" s="153" t="s">
        <v>1199</v>
      </c>
      <c r="F43" s="42">
        <v>6</v>
      </c>
      <c r="G43" t="str">
        <f>IF('Company Info, Intended Activity'!$C$25=FieldValidation!D43,F43,"")</f>
        <v/>
      </c>
      <c r="H43" t="str">
        <f>IF('Company Info, Intended Activity'!$C$25=FieldValidation!D43,E43,"")</f>
        <v/>
      </c>
      <c r="I43" s="156" t="s">
        <v>1232</v>
      </c>
      <c r="J43" s="156" t="s">
        <v>1232</v>
      </c>
      <c r="M43">
        <v>10</v>
      </c>
      <c r="N43" t="e">
        <f t="shared" si="12"/>
        <v>#N/A</v>
      </c>
    </row>
    <row r="44" spans="1:14" ht="12" customHeight="1" x14ac:dyDescent="0.25">
      <c r="A44" t="s">
        <v>546</v>
      </c>
      <c r="B44" t="str">
        <f t="shared" si="13"/>
        <v>CompanyBusinessModel</v>
      </c>
      <c r="C44" t="str">
        <f t="shared" si="14"/>
        <v>BUSINESS MODEL (Drop down depends on the selected Account type)</v>
      </c>
      <c r="D44" s="177" t="str">
        <f t="shared" si="14"/>
        <v>Other non-financial company</v>
      </c>
      <c r="E44" s="153" t="s">
        <v>1200</v>
      </c>
      <c r="F44" s="182">
        <v>7</v>
      </c>
      <c r="G44" t="str">
        <f>IF('Company Info, Intended Activity'!$C$25=FieldValidation!D44,F44,"")</f>
        <v/>
      </c>
      <c r="H44" t="str">
        <f>IF('Company Info, Intended Activity'!$C$25=FieldValidation!D44,E44,"")</f>
        <v/>
      </c>
      <c r="I44" s="156" t="s">
        <v>1232</v>
      </c>
      <c r="J44" s="156" t="s">
        <v>1232</v>
      </c>
      <c r="M44">
        <v>11</v>
      </c>
      <c r="N44" t="e">
        <f t="shared" si="12"/>
        <v>#N/A</v>
      </c>
    </row>
    <row r="45" spans="1:14" ht="12" customHeight="1" x14ac:dyDescent="0.25">
      <c r="A45" t="s">
        <v>546</v>
      </c>
      <c r="B45" t="str">
        <f t="shared" si="13"/>
        <v>CompanyBusinessModel</v>
      </c>
      <c r="C45" t="str">
        <f t="shared" si="14"/>
        <v>BUSINESS MODEL (Drop down depends on the selected Account type)</v>
      </c>
      <c r="D45" s="177" t="str">
        <f t="shared" si="14"/>
        <v>Other non-financial company</v>
      </c>
      <c r="E45" s="153" t="s">
        <v>1201</v>
      </c>
      <c r="F45" s="182">
        <v>8</v>
      </c>
      <c r="G45" t="str">
        <f>IF('Company Info, Intended Activity'!$C$25=FieldValidation!D45,F45,"")</f>
        <v/>
      </c>
      <c r="H45" t="str">
        <f>IF('Company Info, Intended Activity'!$C$25=FieldValidation!D45,E45,"")</f>
        <v/>
      </c>
      <c r="I45" s="156" t="s">
        <v>1232</v>
      </c>
      <c r="J45" s="156" t="s">
        <v>1232</v>
      </c>
      <c r="M45">
        <v>12</v>
      </c>
      <c r="N45" t="e">
        <f t="shared" si="12"/>
        <v>#N/A</v>
      </c>
    </row>
    <row r="46" spans="1:14" ht="12" customHeight="1" x14ac:dyDescent="0.25">
      <c r="A46" t="s">
        <v>546</v>
      </c>
      <c r="B46" t="str">
        <f t="shared" si="13"/>
        <v>CompanyBusinessModel</v>
      </c>
      <c r="C46" t="str">
        <f t="shared" si="14"/>
        <v>BUSINESS MODEL (Drop down depends on the selected Account type)</v>
      </c>
      <c r="D46" s="177" t="str">
        <f t="shared" si="14"/>
        <v>Other non-financial company</v>
      </c>
      <c r="E46" s="153" t="s">
        <v>1202</v>
      </c>
      <c r="F46" s="42">
        <v>9</v>
      </c>
      <c r="G46" t="str">
        <f>IF('Company Info, Intended Activity'!$C$25=FieldValidation!D46,F46,"")</f>
        <v/>
      </c>
      <c r="H46" t="str">
        <f>IF('Company Info, Intended Activity'!$C$25=FieldValidation!D46,E46,"")</f>
        <v/>
      </c>
      <c r="I46" s="156" t="s">
        <v>1232</v>
      </c>
      <c r="J46" s="156" t="s">
        <v>1232</v>
      </c>
      <c r="M46">
        <v>13</v>
      </c>
      <c r="N46" t="e">
        <f t="shared" si="12"/>
        <v>#N/A</v>
      </c>
    </row>
    <row r="47" spans="1:14" ht="12" customHeight="1" x14ac:dyDescent="0.25">
      <c r="A47" t="s">
        <v>546</v>
      </c>
      <c r="B47" t="str">
        <f t="shared" si="13"/>
        <v>CompanyBusinessModel</v>
      </c>
      <c r="C47" t="str">
        <f t="shared" si="14"/>
        <v>BUSINESS MODEL (Drop down depends on the selected Account type)</v>
      </c>
      <c r="D47" s="177" t="str">
        <f t="shared" si="14"/>
        <v>Other non-financial company</v>
      </c>
      <c r="E47" s="153" t="s">
        <v>1203</v>
      </c>
      <c r="F47" s="182">
        <v>10</v>
      </c>
      <c r="G47" t="str">
        <f>IF('Company Info, Intended Activity'!$C$25=FieldValidation!D47,F47,"")</f>
        <v/>
      </c>
      <c r="H47" t="str">
        <f>IF('Company Info, Intended Activity'!$C$25=FieldValidation!D47,E47,"")</f>
        <v/>
      </c>
      <c r="I47" s="156" t="s">
        <v>1232</v>
      </c>
      <c r="J47" s="156" t="s">
        <v>1232</v>
      </c>
      <c r="M47">
        <v>14</v>
      </c>
      <c r="N47" t="e">
        <f t="shared" si="12"/>
        <v>#N/A</v>
      </c>
    </row>
    <row r="48" spans="1:14" ht="12" customHeight="1" x14ac:dyDescent="0.25">
      <c r="A48" t="s">
        <v>546</v>
      </c>
      <c r="B48" t="str">
        <f t="shared" si="13"/>
        <v>CompanyBusinessModel</v>
      </c>
      <c r="C48" t="str">
        <f t="shared" si="14"/>
        <v>BUSINESS MODEL (Drop down depends on the selected Account type)</v>
      </c>
      <c r="D48" s="177" t="str">
        <f t="shared" si="14"/>
        <v>Other non-financial company</v>
      </c>
      <c r="E48" s="153" t="s">
        <v>1313</v>
      </c>
      <c r="F48" s="182">
        <v>11</v>
      </c>
      <c r="G48" t="str">
        <f>IF('Company Info, Intended Activity'!$C$25=FieldValidation!D48,F48,"")</f>
        <v/>
      </c>
      <c r="H48" t="str">
        <f>IF('Company Info, Intended Activity'!$C$25=FieldValidation!D48,E48,"")</f>
        <v/>
      </c>
      <c r="I48" s="156" t="s">
        <v>1232</v>
      </c>
      <c r="J48" s="156" t="s">
        <v>1232</v>
      </c>
      <c r="M48">
        <v>15</v>
      </c>
      <c r="N48" t="e">
        <f t="shared" si="12"/>
        <v>#N/A</v>
      </c>
    </row>
    <row r="49" spans="1:14" ht="12" customHeight="1" x14ac:dyDescent="0.25">
      <c r="A49" t="s">
        <v>546</v>
      </c>
      <c r="B49" t="str">
        <f t="shared" si="13"/>
        <v>CompanyBusinessModel</v>
      </c>
      <c r="C49" t="str">
        <f t="shared" si="14"/>
        <v>BUSINESS MODEL (Drop down depends on the selected Account type)</v>
      </c>
      <c r="D49" s="177" t="str">
        <f t="shared" si="14"/>
        <v>Other non-financial company</v>
      </c>
      <c r="E49" s="153" t="s">
        <v>1204</v>
      </c>
      <c r="F49" s="42">
        <v>12</v>
      </c>
      <c r="G49" t="str">
        <f>IF('Company Info, Intended Activity'!$C$25=FieldValidation!D49,F49,"")</f>
        <v/>
      </c>
      <c r="H49" t="str">
        <f>IF('Company Info, Intended Activity'!$C$25=FieldValidation!D49,E49,"")</f>
        <v/>
      </c>
      <c r="I49" s="156" t="s">
        <v>1232</v>
      </c>
      <c r="J49" s="156" t="s">
        <v>1232</v>
      </c>
      <c r="M49">
        <v>16</v>
      </c>
      <c r="N49" t="e">
        <f t="shared" si="12"/>
        <v>#N/A</v>
      </c>
    </row>
    <row r="50" spans="1:14" ht="12" customHeight="1" x14ac:dyDescent="0.25">
      <c r="A50" t="s">
        <v>546</v>
      </c>
      <c r="B50" t="str">
        <f t="shared" si="13"/>
        <v>CompanyBusinessModel</v>
      </c>
      <c r="C50" t="str">
        <f t="shared" si="14"/>
        <v>BUSINESS MODEL (Drop down depends on the selected Account type)</v>
      </c>
      <c r="D50" s="177" t="str">
        <f t="shared" si="14"/>
        <v>Other non-financial company</v>
      </c>
      <c r="E50" s="153" t="s">
        <v>1205</v>
      </c>
      <c r="F50" s="182">
        <v>13</v>
      </c>
      <c r="G50" t="str">
        <f>IF('Company Info, Intended Activity'!$C$25=FieldValidation!D50,F50,"")</f>
        <v/>
      </c>
      <c r="H50" t="str">
        <f>IF('Company Info, Intended Activity'!$C$25=FieldValidation!D50,E50,"")</f>
        <v/>
      </c>
      <c r="I50" s="156" t="s">
        <v>1232</v>
      </c>
      <c r="J50" s="156" t="s">
        <v>1232</v>
      </c>
      <c r="M50">
        <v>17</v>
      </c>
      <c r="N50" t="e">
        <f t="shared" ref="N50:N53" si="15">VLOOKUP(M50,$G$34:$H$85,2,FALSE)</f>
        <v>#N/A</v>
      </c>
    </row>
    <row r="51" spans="1:14" ht="12" customHeight="1" x14ac:dyDescent="0.25">
      <c r="A51" t="s">
        <v>546</v>
      </c>
      <c r="B51" t="str">
        <f t="shared" si="13"/>
        <v>CompanyBusinessModel</v>
      </c>
      <c r="C51" t="str">
        <f t="shared" si="14"/>
        <v>BUSINESS MODEL (Drop down depends on the selected Account type)</v>
      </c>
      <c r="D51" s="177" t="str">
        <f t="shared" si="14"/>
        <v>Other non-financial company</v>
      </c>
      <c r="E51" s="153" t="s">
        <v>1206</v>
      </c>
      <c r="F51" s="182">
        <v>14</v>
      </c>
      <c r="G51" t="str">
        <f>IF('Company Info, Intended Activity'!$C$25=FieldValidation!D51,F51,"")</f>
        <v/>
      </c>
      <c r="H51" t="str">
        <f>IF('Company Info, Intended Activity'!$C$25=FieldValidation!D51,E51,"")</f>
        <v/>
      </c>
      <c r="I51" s="156" t="s">
        <v>1232</v>
      </c>
      <c r="J51" s="156" t="s">
        <v>1232</v>
      </c>
      <c r="M51">
        <v>18</v>
      </c>
      <c r="N51" t="e">
        <f t="shared" si="15"/>
        <v>#N/A</v>
      </c>
    </row>
    <row r="52" spans="1:14" ht="12" customHeight="1" x14ac:dyDescent="0.25">
      <c r="A52" t="s">
        <v>546</v>
      </c>
      <c r="B52" t="str">
        <f t="shared" si="13"/>
        <v>CompanyBusinessModel</v>
      </c>
      <c r="C52" t="str">
        <f t="shared" si="14"/>
        <v>BUSINESS MODEL (Drop down depends on the selected Account type)</v>
      </c>
      <c r="D52" s="177" t="str">
        <f t="shared" si="14"/>
        <v>Other non-financial company</v>
      </c>
      <c r="E52" s="153" t="s">
        <v>1207</v>
      </c>
      <c r="F52" s="42">
        <v>15</v>
      </c>
      <c r="G52" t="str">
        <f>IF('Company Info, Intended Activity'!$C$25=FieldValidation!D52,F52,"")</f>
        <v/>
      </c>
      <c r="H52" t="str">
        <f>IF('Company Info, Intended Activity'!$C$25=FieldValidation!D52,E52,"")</f>
        <v/>
      </c>
      <c r="I52" s="156" t="s">
        <v>1232</v>
      </c>
      <c r="J52" s="156" t="s">
        <v>1232</v>
      </c>
      <c r="M52">
        <v>19</v>
      </c>
      <c r="N52" t="e">
        <f t="shared" si="15"/>
        <v>#N/A</v>
      </c>
    </row>
    <row r="53" spans="1:14" ht="12" customHeight="1" x14ac:dyDescent="0.25">
      <c r="A53" t="s">
        <v>546</v>
      </c>
      <c r="B53" t="str">
        <f t="shared" si="13"/>
        <v>CompanyBusinessModel</v>
      </c>
      <c r="C53" t="str">
        <f t="shared" si="14"/>
        <v>BUSINESS MODEL (Drop down depends on the selected Account type)</v>
      </c>
      <c r="D53" s="177" t="str">
        <f t="shared" si="14"/>
        <v>Other non-financial company</v>
      </c>
      <c r="E53" s="153" t="s">
        <v>1208</v>
      </c>
      <c r="F53" s="182">
        <v>16</v>
      </c>
      <c r="G53" t="str">
        <f>IF('Company Info, Intended Activity'!$C$25=FieldValidation!D53,F53,"")</f>
        <v/>
      </c>
      <c r="H53" t="str">
        <f>IF('Company Info, Intended Activity'!$C$25=FieldValidation!D53,E53,"")</f>
        <v/>
      </c>
      <c r="I53" s="156" t="s">
        <v>1232</v>
      </c>
      <c r="J53" s="156" t="s">
        <v>1232</v>
      </c>
      <c r="M53">
        <v>20</v>
      </c>
      <c r="N53" t="e">
        <f t="shared" si="15"/>
        <v>#N/A</v>
      </c>
    </row>
    <row r="54" spans="1:14" ht="12" customHeight="1" x14ac:dyDescent="0.25">
      <c r="A54" t="s">
        <v>546</v>
      </c>
      <c r="B54" t="str">
        <f t="shared" si="13"/>
        <v>CompanyBusinessModel</v>
      </c>
      <c r="C54" t="str">
        <f t="shared" si="14"/>
        <v>BUSINESS MODEL (Drop down depends on the selected Account type)</v>
      </c>
      <c r="D54" s="177" t="str">
        <f t="shared" si="14"/>
        <v>Other non-financial company</v>
      </c>
      <c r="E54" s="153" t="s">
        <v>1209</v>
      </c>
      <c r="F54" s="182">
        <v>17</v>
      </c>
      <c r="G54" t="str">
        <f>IF('Company Info, Intended Activity'!$C$25=FieldValidation!D54,F54,"")</f>
        <v/>
      </c>
      <c r="H54" t="str">
        <f>IF('Company Info, Intended Activity'!$C$25=FieldValidation!D54,E54,"")</f>
        <v/>
      </c>
      <c r="I54" s="156" t="s">
        <v>1232</v>
      </c>
      <c r="J54" s="156" t="s">
        <v>1232</v>
      </c>
    </row>
    <row r="55" spans="1:14" ht="12" customHeight="1" x14ac:dyDescent="0.25">
      <c r="A55" t="s">
        <v>546</v>
      </c>
      <c r="B55" t="str">
        <f t="shared" si="13"/>
        <v>CompanyBusinessModel</v>
      </c>
      <c r="C55" t="str">
        <f t="shared" si="14"/>
        <v>BUSINESS MODEL (Drop down depends on the selected Account type)</v>
      </c>
      <c r="D55" s="177" t="str">
        <f t="shared" si="14"/>
        <v>Other non-financial company</v>
      </c>
      <c r="E55" s="153" t="s">
        <v>1210</v>
      </c>
      <c r="F55" s="42">
        <v>18</v>
      </c>
      <c r="G55" t="str">
        <f>IF('Company Info, Intended Activity'!$C$25=FieldValidation!D55,F55,"")</f>
        <v/>
      </c>
      <c r="H55" t="str">
        <f>IF('Company Info, Intended Activity'!$C$25=FieldValidation!D55,E55,"")</f>
        <v/>
      </c>
      <c r="I55" s="156" t="s">
        <v>1232</v>
      </c>
      <c r="J55" s="156" t="s">
        <v>1232</v>
      </c>
    </row>
    <row r="56" spans="1:14" ht="12" customHeight="1" x14ac:dyDescent="0.25">
      <c r="A56" t="s">
        <v>546</v>
      </c>
      <c r="B56" t="str">
        <f t="shared" si="13"/>
        <v>CompanyBusinessModel</v>
      </c>
      <c r="C56" t="str">
        <f t="shared" si="14"/>
        <v>BUSINESS MODEL (Drop down depends on the selected Account type)</v>
      </c>
      <c r="D56" s="177" t="str">
        <f t="shared" si="14"/>
        <v>Other non-financial company</v>
      </c>
      <c r="E56" s="153" t="s">
        <v>1211</v>
      </c>
      <c r="F56" s="182">
        <v>19</v>
      </c>
      <c r="G56" t="str">
        <f>IF('Company Info, Intended Activity'!$C$25=FieldValidation!D56,F56,"")</f>
        <v/>
      </c>
      <c r="H56" t="str">
        <f>IF('Company Info, Intended Activity'!$C$25=FieldValidation!D56,E56,"")</f>
        <v/>
      </c>
      <c r="I56" s="156" t="s">
        <v>1232</v>
      </c>
      <c r="J56" s="156" t="s">
        <v>1232</v>
      </c>
    </row>
    <row r="57" spans="1:14" ht="12" customHeight="1" x14ac:dyDescent="0.25">
      <c r="A57" t="s">
        <v>546</v>
      </c>
      <c r="B57" t="str">
        <f t="shared" si="13"/>
        <v>CompanyBusinessModel</v>
      </c>
      <c r="C57" t="str">
        <f t="shared" si="14"/>
        <v>BUSINESS MODEL (Drop down depends on the selected Account type)</v>
      </c>
      <c r="D57" s="177" t="str">
        <f>D56</f>
        <v>Other non-financial company</v>
      </c>
      <c r="E57" s="153" t="s">
        <v>1212</v>
      </c>
      <c r="F57" s="182">
        <v>20</v>
      </c>
      <c r="G57" t="str">
        <f>IF('Company Info, Intended Activity'!$C$25=FieldValidation!D57,F57,"")</f>
        <v/>
      </c>
      <c r="H57" t="str">
        <f>IF('Company Info, Intended Activity'!$C$25=FieldValidation!D57,E57,"")</f>
        <v/>
      </c>
      <c r="I57" s="156" t="s">
        <v>1232</v>
      </c>
      <c r="J57" s="156" t="s">
        <v>1232</v>
      </c>
    </row>
    <row r="58" spans="1:14" ht="12" customHeight="1" x14ac:dyDescent="0.25">
      <c r="A58" t="s">
        <v>546</v>
      </c>
      <c r="B58" t="str">
        <f t="shared" si="13"/>
        <v>CompanyBusinessModel</v>
      </c>
      <c r="C58" t="str">
        <f t="shared" si="14"/>
        <v>BUSINESS MODEL (Drop down depends on the selected Account type)</v>
      </c>
      <c r="D58" s="157" t="s">
        <v>1120</v>
      </c>
      <c r="E58" s="1" t="str">
        <f>D58</f>
        <v>Personal Investment Vehicle</v>
      </c>
      <c r="F58" s="42">
        <v>1</v>
      </c>
      <c r="G58" t="str">
        <f>IF('Company Info, Intended Activity'!$C$25=FieldValidation!D58,F58,"")</f>
        <v/>
      </c>
      <c r="H58" t="str">
        <f>IF('Company Info, Intended Activity'!$C$25=FieldValidation!D58,E58,"")</f>
        <v/>
      </c>
      <c r="I58" s="156" t="s">
        <v>1233</v>
      </c>
      <c r="J58" s="156" t="s">
        <v>1233</v>
      </c>
    </row>
    <row r="59" spans="1:14" ht="12" customHeight="1" x14ac:dyDescent="0.25">
      <c r="A59" t="s">
        <v>546</v>
      </c>
      <c r="B59" t="str">
        <f t="shared" si="13"/>
        <v>CompanyBusinessModel</v>
      </c>
      <c r="C59" t="str">
        <f t="shared" si="14"/>
        <v>BUSINESS MODEL (Drop down depends on the selected Account type)</v>
      </c>
      <c r="D59" s="156" t="s">
        <v>1121</v>
      </c>
      <c r="E59" s="1" t="str">
        <f>D59</f>
        <v>Proprietary Trading Firm</v>
      </c>
      <c r="F59" s="42">
        <v>1</v>
      </c>
      <c r="G59" t="str">
        <f>IF('Company Info, Intended Activity'!$C$25=FieldValidation!D59,F59,"")</f>
        <v/>
      </c>
      <c r="H59" t="str">
        <f>IF('Company Info, Intended Activity'!$C$25=FieldValidation!D59,E59,"")</f>
        <v/>
      </c>
      <c r="I59" s="156" t="s">
        <v>1234</v>
      </c>
      <c r="J59" s="156" t="s">
        <v>1234</v>
      </c>
    </row>
    <row r="60" spans="1:14" ht="12" customHeight="1" x14ac:dyDescent="0.25">
      <c r="A60" t="s">
        <v>546</v>
      </c>
      <c r="B60" t="str">
        <f t="shared" si="13"/>
        <v>CompanyBusinessModel</v>
      </c>
      <c r="C60" t="str">
        <f t="shared" si="14"/>
        <v>BUSINESS MODEL (Drop down depends on the selected Account type)</v>
      </c>
      <c r="D60" s="156" t="s">
        <v>1122</v>
      </c>
      <c r="E60" s="1" t="str">
        <f>D60</f>
        <v>Government Entity</v>
      </c>
      <c r="F60" s="42">
        <v>1</v>
      </c>
      <c r="G60" t="str">
        <f>IF('Company Info, Intended Activity'!$C$25=FieldValidation!D60,F60,"")</f>
        <v/>
      </c>
      <c r="H60" t="str">
        <f>IF('Company Info, Intended Activity'!$C$25=FieldValidation!D60,E60,"")</f>
        <v/>
      </c>
      <c r="I60" s="156" t="s">
        <v>208</v>
      </c>
      <c r="J60" s="156" t="s">
        <v>208</v>
      </c>
    </row>
    <row r="61" spans="1:14" ht="12" customHeight="1" x14ac:dyDescent="0.25">
      <c r="A61" t="s">
        <v>546</v>
      </c>
      <c r="B61" t="str">
        <f t="shared" si="13"/>
        <v>CompanyBusinessModel</v>
      </c>
      <c r="C61" t="str">
        <f t="shared" si="14"/>
        <v>BUSINESS MODEL (Drop down depends on the selected Account type)</v>
      </c>
      <c r="D61" s="157" t="s">
        <v>1123</v>
      </c>
      <c r="E61" s="1" t="str">
        <f>D61</f>
        <v>401(K) or Profit-Sharing Plan (including, solo 401(K) and retirement trusts)</v>
      </c>
      <c r="F61" s="42">
        <v>1</v>
      </c>
      <c r="G61" t="str">
        <f>IF('Company Info, Intended Activity'!$C$25=FieldValidation!D61,F61,"")</f>
        <v/>
      </c>
      <c r="H61" t="str">
        <f>IF('Company Info, Intended Activity'!$C$25=FieldValidation!D61,E61,"")</f>
        <v/>
      </c>
      <c r="I61" s="156" t="s">
        <v>1243</v>
      </c>
      <c r="J61" s="156" t="s">
        <v>1243</v>
      </c>
    </row>
    <row r="62" spans="1:14" ht="12" customHeight="1" x14ac:dyDescent="0.25">
      <c r="A62" t="s">
        <v>546</v>
      </c>
      <c r="B62" t="str">
        <f t="shared" si="13"/>
        <v>CompanyBusinessModel</v>
      </c>
      <c r="C62" t="str">
        <f t="shared" si="14"/>
        <v>BUSINESS MODEL (Drop down depends on the selected Account type)</v>
      </c>
      <c r="D62" s="158" t="s">
        <v>1124</v>
      </c>
      <c r="E62" s="3" t="s">
        <v>1213</v>
      </c>
      <c r="F62" s="150">
        <v>1</v>
      </c>
      <c r="G62" t="str">
        <f>IF('Company Info, Intended Activity'!$C$25=FieldValidation!D62,F62,"")</f>
        <v/>
      </c>
      <c r="H62" t="str">
        <f>IF('Company Info, Intended Activity'!$C$25=FieldValidation!D62,E62,"")</f>
        <v/>
      </c>
      <c r="I62" s="156" t="s">
        <v>1235</v>
      </c>
      <c r="J62" s="156" t="s">
        <v>1235</v>
      </c>
    </row>
    <row r="63" spans="1:14" ht="12" customHeight="1" x14ac:dyDescent="0.25">
      <c r="A63" t="s">
        <v>546</v>
      </c>
      <c r="B63" t="str">
        <f t="shared" si="13"/>
        <v>CompanyBusinessModel</v>
      </c>
      <c r="C63" t="str">
        <f t="shared" si="14"/>
        <v>BUSINESS MODEL (Drop down depends on the selected Account type)</v>
      </c>
      <c r="D63" s="177" t="str">
        <f t="shared" si="14"/>
        <v>Pooled Investment Fund (Hedge Fund, Private Equity Fund, Venture Capital Fund)</v>
      </c>
      <c r="E63" s="1" t="s">
        <v>1214</v>
      </c>
      <c r="F63" s="42">
        <v>2</v>
      </c>
      <c r="G63" t="str">
        <f>IF('Company Info, Intended Activity'!$C$25=FieldValidation!D63,F63,"")</f>
        <v/>
      </c>
      <c r="H63" t="str">
        <f>IF('Company Info, Intended Activity'!$C$25=FieldValidation!D63,E63,"")</f>
        <v/>
      </c>
      <c r="I63" s="156" t="s">
        <v>1251</v>
      </c>
      <c r="J63" s="156" t="s">
        <v>1235</v>
      </c>
    </row>
    <row r="64" spans="1:14" ht="12" customHeight="1" x14ac:dyDescent="0.25">
      <c r="A64" t="s">
        <v>546</v>
      </c>
      <c r="B64" t="str">
        <f t="shared" si="13"/>
        <v>CompanyBusinessModel</v>
      </c>
      <c r="C64" t="str">
        <f t="shared" si="14"/>
        <v>BUSINESS MODEL (Drop down depends on the selected Account type)</v>
      </c>
      <c r="D64" s="177" t="str">
        <f t="shared" si="14"/>
        <v>Pooled Investment Fund (Hedge Fund, Private Equity Fund, Venture Capital Fund)</v>
      </c>
      <c r="E64" s="1" t="s">
        <v>1215</v>
      </c>
      <c r="F64" s="42">
        <v>3</v>
      </c>
      <c r="G64" t="str">
        <f>IF('Company Info, Intended Activity'!$C$25=FieldValidation!D64,F64,"")</f>
        <v/>
      </c>
      <c r="H64" t="str">
        <f>IF('Company Info, Intended Activity'!$C$25=FieldValidation!D64,E64,"")</f>
        <v/>
      </c>
      <c r="I64" s="156" t="s">
        <v>1235</v>
      </c>
      <c r="J64" s="156" t="s">
        <v>1235</v>
      </c>
    </row>
    <row r="65" spans="1:10" ht="12" customHeight="1" x14ac:dyDescent="0.25">
      <c r="A65" t="s">
        <v>546</v>
      </c>
      <c r="B65" t="str">
        <f t="shared" si="13"/>
        <v>CompanyBusinessModel</v>
      </c>
      <c r="C65" t="str">
        <f t="shared" si="14"/>
        <v>BUSINESS MODEL (Drop down depends on the selected Account type)</v>
      </c>
      <c r="D65" s="177" t="str">
        <f t="shared" si="14"/>
        <v>Pooled Investment Fund (Hedge Fund, Private Equity Fund, Venture Capital Fund)</v>
      </c>
      <c r="E65" s="1" t="s">
        <v>1216</v>
      </c>
      <c r="F65" s="42">
        <v>4</v>
      </c>
      <c r="G65" t="str">
        <f>IF('Company Info, Intended Activity'!$C$25=FieldValidation!D65,F65,"")</f>
        <v/>
      </c>
      <c r="H65" t="str">
        <f>IF('Company Info, Intended Activity'!$C$25=FieldValidation!D65,E65,"")</f>
        <v/>
      </c>
      <c r="I65" s="156" t="s">
        <v>1235</v>
      </c>
      <c r="J65" s="156" t="s">
        <v>1235</v>
      </c>
    </row>
    <row r="66" spans="1:10" ht="12" customHeight="1" x14ac:dyDescent="0.25">
      <c r="A66" t="s">
        <v>546</v>
      </c>
      <c r="B66" t="str">
        <f t="shared" si="13"/>
        <v>CompanyBusinessModel</v>
      </c>
      <c r="C66" t="str">
        <f t="shared" si="14"/>
        <v>BUSINESS MODEL (Drop down depends on the selected Account type)</v>
      </c>
      <c r="D66" s="157" t="s">
        <v>1187</v>
      </c>
      <c r="E66" s="3" t="s">
        <v>1217</v>
      </c>
      <c r="F66" s="150">
        <v>1</v>
      </c>
      <c r="G66" t="str">
        <f>IF('Company Info, Intended Activity'!$C$25=FieldValidation!D66,F66,"")</f>
        <v/>
      </c>
      <c r="H66" t="str">
        <f>IF('Company Info, Intended Activity'!$C$25=FieldValidation!D66,E66,"")</f>
        <v/>
      </c>
      <c r="I66" s="156" t="s">
        <v>1252</v>
      </c>
      <c r="J66" s="156" t="s">
        <v>399</v>
      </c>
    </row>
    <row r="67" spans="1:10" ht="12" customHeight="1" x14ac:dyDescent="0.25">
      <c r="A67" t="s">
        <v>546</v>
      </c>
      <c r="B67" t="str">
        <f t="shared" si="13"/>
        <v>CompanyBusinessModel</v>
      </c>
      <c r="C67" t="str">
        <f t="shared" si="14"/>
        <v>BUSINESS MODEL (Drop down depends on the selected Account type)</v>
      </c>
      <c r="D67" s="177" t="str">
        <f t="shared" si="14"/>
        <v>Regulated Entity</v>
      </c>
      <c r="E67" s="1" t="s">
        <v>1218</v>
      </c>
      <c r="F67" s="42">
        <v>2</v>
      </c>
      <c r="G67" t="str">
        <f>IF('Company Info, Intended Activity'!$C$25=FieldValidation!D67,F67,"")</f>
        <v/>
      </c>
      <c r="H67" t="str">
        <f>IF('Company Info, Intended Activity'!$C$25=FieldValidation!D67,E67,"")</f>
        <v/>
      </c>
      <c r="I67" s="156" t="s">
        <v>1253</v>
      </c>
      <c r="J67" s="156" t="s">
        <v>399</v>
      </c>
    </row>
    <row r="68" spans="1:10" ht="12" customHeight="1" x14ac:dyDescent="0.25">
      <c r="A68" t="s">
        <v>546</v>
      </c>
      <c r="B68" t="str">
        <f t="shared" si="13"/>
        <v>CompanyBusinessModel</v>
      </c>
      <c r="C68" t="str">
        <f t="shared" si="14"/>
        <v>BUSINESS MODEL (Drop down depends on the selected Account type)</v>
      </c>
      <c r="D68" s="177" t="str">
        <f t="shared" si="14"/>
        <v>Regulated Entity</v>
      </c>
      <c r="E68" s="1" t="s">
        <v>1219</v>
      </c>
      <c r="F68" s="42">
        <v>3</v>
      </c>
      <c r="G68" t="str">
        <f>IF('Company Info, Intended Activity'!$C$25=FieldValidation!D68,F68,"")</f>
        <v/>
      </c>
      <c r="H68" t="str">
        <f>IF('Company Info, Intended Activity'!$C$25=FieldValidation!D68,E68,"")</f>
        <v/>
      </c>
      <c r="I68" s="156" t="s">
        <v>1254</v>
      </c>
      <c r="J68" s="156" t="s">
        <v>399</v>
      </c>
    </row>
    <row r="69" spans="1:10" ht="12" customHeight="1" x14ac:dyDescent="0.25">
      <c r="A69" t="s">
        <v>546</v>
      </c>
      <c r="B69" t="str">
        <f t="shared" si="13"/>
        <v>CompanyBusinessModel</v>
      </c>
      <c r="C69" t="str">
        <f t="shared" si="14"/>
        <v>BUSINESS MODEL (Drop down depends on the selected Account type)</v>
      </c>
      <c r="D69" s="157" t="s">
        <v>1188</v>
      </c>
      <c r="E69" s="1" t="str">
        <f>D69</f>
        <v>Publicly Traded Company</v>
      </c>
      <c r="F69" s="42">
        <v>1</v>
      </c>
      <c r="G69" t="str">
        <f>IF('Company Info, Intended Activity'!$C$25=FieldValidation!D69,F69,"")</f>
        <v/>
      </c>
      <c r="H69" t="str">
        <f>IF('Company Info, Intended Activity'!$C$25=FieldValidation!D69,E69,"")</f>
        <v/>
      </c>
      <c r="I69" s="156" t="s">
        <v>1236</v>
      </c>
      <c r="J69" s="156" t="s">
        <v>1236</v>
      </c>
    </row>
    <row r="70" spans="1:10" ht="12" customHeight="1" x14ac:dyDescent="0.25">
      <c r="A70" t="s">
        <v>546</v>
      </c>
      <c r="B70" t="str">
        <f t="shared" si="13"/>
        <v>CompanyBusinessModel</v>
      </c>
      <c r="C70" t="str">
        <f t="shared" si="14"/>
        <v>BUSINESS MODEL (Drop down depends on the selected Account type)</v>
      </c>
      <c r="D70" s="157" t="s">
        <v>1177</v>
      </c>
      <c r="E70" s="1" t="str">
        <f>D70</f>
        <v>Tax Exempt Organizations Non-Profit (NPOs) and Non-Governmental Organizations (NGOs)</v>
      </c>
      <c r="F70" s="42">
        <v>1</v>
      </c>
      <c r="G70" t="str">
        <f>IF('Company Info, Intended Activity'!$C$25=FieldValidation!D70,F70,"")</f>
        <v/>
      </c>
      <c r="H70" t="str">
        <f>IF('Company Info, Intended Activity'!$C$25=FieldValidation!D70,E70,"")</f>
        <v/>
      </c>
      <c r="I70" s="156" t="s">
        <v>1237</v>
      </c>
      <c r="J70" s="156" t="s">
        <v>1237</v>
      </c>
    </row>
    <row r="71" spans="1:10" ht="12" customHeight="1" x14ac:dyDescent="0.25">
      <c r="A71" t="s">
        <v>546</v>
      </c>
      <c r="B71" t="str">
        <f t="shared" si="13"/>
        <v>CompanyBusinessModel</v>
      </c>
      <c r="C71" t="str">
        <f t="shared" si="14"/>
        <v>BUSINESS MODEL (Drop down depends on the selected Account type)</v>
      </c>
      <c r="D71" s="157" t="s">
        <v>1241</v>
      </c>
      <c r="E71" s="1" t="s">
        <v>1220</v>
      </c>
      <c r="F71" s="42">
        <v>1</v>
      </c>
      <c r="G71" t="str">
        <f>IF('Company Info, Intended Activity'!$C$25=FieldValidation!D71,F71,"")</f>
        <v/>
      </c>
      <c r="H71" t="str">
        <f>IF('Company Info, Intended Activity'!$C$25=FieldValidation!D71,E71,"")</f>
        <v/>
      </c>
      <c r="I71" s="156" t="s">
        <v>1238</v>
      </c>
      <c r="J71" s="156" t="s">
        <v>1238</v>
      </c>
    </row>
    <row r="72" spans="1:10" ht="12" customHeight="1" x14ac:dyDescent="0.25">
      <c r="A72" t="s">
        <v>546</v>
      </c>
      <c r="B72" t="str">
        <f t="shared" si="13"/>
        <v>CompanyBusinessModel</v>
      </c>
      <c r="C72" t="str">
        <f t="shared" si="14"/>
        <v>BUSINESS MODEL (Drop down depends on the selected Account type)</v>
      </c>
      <c r="D72" s="177" t="str">
        <f t="shared" si="14"/>
        <v>Money Services Business (“MSBs”) or Money Transmitters (“MSTs”)</v>
      </c>
      <c r="E72" s="1" t="s">
        <v>1221</v>
      </c>
      <c r="F72" s="42">
        <v>2</v>
      </c>
      <c r="G72" t="str">
        <f>IF('Company Info, Intended Activity'!$C$25=FieldValidation!D72,F72,"")</f>
        <v/>
      </c>
      <c r="H72" t="str">
        <f>IF('Company Info, Intended Activity'!$C$25=FieldValidation!D72,E72,"")</f>
        <v/>
      </c>
      <c r="I72" s="156" t="s">
        <v>1256</v>
      </c>
      <c r="J72" s="156" t="s">
        <v>1238</v>
      </c>
    </row>
    <row r="73" spans="1:10" ht="12" customHeight="1" x14ac:dyDescent="0.25">
      <c r="A73" t="s">
        <v>546</v>
      </c>
      <c r="B73" t="str">
        <f t="shared" si="13"/>
        <v>CompanyBusinessModel</v>
      </c>
      <c r="C73" t="str">
        <f t="shared" si="14"/>
        <v>BUSINESS MODEL (Drop down depends on the selected Account type)</v>
      </c>
      <c r="D73" s="177" t="str">
        <f t="shared" si="14"/>
        <v>Money Services Business (“MSBs”) or Money Transmitters (“MSTs”)</v>
      </c>
      <c r="E73" s="1" t="s">
        <v>1222</v>
      </c>
      <c r="F73" s="42">
        <v>3</v>
      </c>
      <c r="G73" t="str">
        <f>IF('Company Info, Intended Activity'!$C$25=FieldValidation!D73,F73,"")</f>
        <v/>
      </c>
      <c r="H73" t="str">
        <f>IF('Company Info, Intended Activity'!$C$25=FieldValidation!D73,E73,"")</f>
        <v/>
      </c>
      <c r="I73" s="156" t="s">
        <v>1238</v>
      </c>
      <c r="J73" s="156" t="s">
        <v>1238</v>
      </c>
    </row>
    <row r="74" spans="1:10" ht="12" customHeight="1" x14ac:dyDescent="0.25">
      <c r="A74" t="s">
        <v>546</v>
      </c>
      <c r="B74" t="str">
        <f t="shared" si="13"/>
        <v>CompanyBusinessModel</v>
      </c>
      <c r="C74" t="str">
        <f t="shared" si="14"/>
        <v>BUSINESS MODEL (Drop down depends on the selected Account type)</v>
      </c>
      <c r="D74" s="177" t="str">
        <f t="shared" si="14"/>
        <v>Money Services Business (“MSBs”) or Money Transmitters (“MSTs”)</v>
      </c>
      <c r="E74" s="1" t="s">
        <v>1223</v>
      </c>
      <c r="F74" s="42">
        <v>4</v>
      </c>
      <c r="G74" t="str">
        <f>IF('Company Info, Intended Activity'!$C$25=FieldValidation!D74,F74,"")</f>
        <v/>
      </c>
      <c r="H74" t="str">
        <f>IF('Company Info, Intended Activity'!$C$25=FieldValidation!D74,E74,"")</f>
        <v/>
      </c>
      <c r="I74" s="156" t="s">
        <v>1256</v>
      </c>
      <c r="J74" s="156" t="s">
        <v>1238</v>
      </c>
    </row>
    <row r="75" spans="1:10" ht="12" customHeight="1" x14ac:dyDescent="0.25">
      <c r="A75" t="s">
        <v>546</v>
      </c>
      <c r="B75" t="str">
        <f t="shared" si="13"/>
        <v>CompanyBusinessModel</v>
      </c>
      <c r="C75" t="str">
        <f t="shared" si="14"/>
        <v>BUSINESS MODEL (Drop down depends on the selected Account type)</v>
      </c>
      <c r="D75" s="177" t="str">
        <f t="shared" si="14"/>
        <v>Money Services Business (“MSBs”) or Money Transmitters (“MSTs”)</v>
      </c>
      <c r="E75" s="1" t="s">
        <v>1224</v>
      </c>
      <c r="F75" s="42">
        <v>5</v>
      </c>
      <c r="G75" t="str">
        <f>IF('Company Info, Intended Activity'!$C$25=FieldValidation!D75,F75,"")</f>
        <v/>
      </c>
      <c r="H75" t="str">
        <f>IF('Company Info, Intended Activity'!$C$25=FieldValidation!D75,E75,"")</f>
        <v/>
      </c>
      <c r="I75" s="156" t="s">
        <v>1238</v>
      </c>
      <c r="J75" s="156" t="s">
        <v>1238</v>
      </c>
    </row>
    <row r="76" spans="1:10" ht="12" customHeight="1" x14ac:dyDescent="0.25">
      <c r="A76" t="s">
        <v>546</v>
      </c>
      <c r="B76" t="str">
        <f t="shared" si="13"/>
        <v>CompanyBusinessModel</v>
      </c>
      <c r="C76" t="str">
        <f t="shared" si="14"/>
        <v>BUSINESS MODEL (Drop down depends on the selected Account type)</v>
      </c>
      <c r="D76" s="177" t="str">
        <f t="shared" si="14"/>
        <v>Money Services Business (“MSBs”) or Money Transmitters (“MSTs”)</v>
      </c>
      <c r="E76" s="1" t="s">
        <v>1225</v>
      </c>
      <c r="F76" s="42">
        <v>6</v>
      </c>
      <c r="G76" t="str">
        <f>IF('Company Info, Intended Activity'!$C$25=FieldValidation!D76,F76,"")</f>
        <v/>
      </c>
      <c r="H76" t="str">
        <f>IF('Company Info, Intended Activity'!$C$25=FieldValidation!D76,E76,"")</f>
        <v/>
      </c>
      <c r="I76" s="156" t="s">
        <v>1238</v>
      </c>
      <c r="J76" s="156" t="s">
        <v>1238</v>
      </c>
    </row>
    <row r="77" spans="1:10" ht="12" customHeight="1" x14ac:dyDescent="0.25">
      <c r="A77" t="s">
        <v>546</v>
      </c>
      <c r="B77" t="str">
        <f t="shared" si="13"/>
        <v>CompanyBusinessModel</v>
      </c>
      <c r="C77" t="str">
        <f t="shared" si="14"/>
        <v>BUSINESS MODEL (Drop down depends on the selected Account type)</v>
      </c>
      <c r="D77" s="177" t="str">
        <f t="shared" si="14"/>
        <v>Money Services Business (“MSBs”) or Money Transmitters (“MSTs”)</v>
      </c>
      <c r="E77" s="1" t="s">
        <v>1226</v>
      </c>
      <c r="F77" s="42">
        <v>7</v>
      </c>
      <c r="G77" t="str">
        <f>IF('Company Info, Intended Activity'!$C$25=FieldValidation!D77,F77,"")</f>
        <v/>
      </c>
      <c r="H77" t="str">
        <f>IF('Company Info, Intended Activity'!$C$25=FieldValidation!D77,E77,"")</f>
        <v/>
      </c>
      <c r="I77" s="156" t="s">
        <v>1238</v>
      </c>
      <c r="J77" s="156" t="s">
        <v>1238</v>
      </c>
    </row>
    <row r="78" spans="1:10" ht="12" customHeight="1" x14ac:dyDescent="0.25">
      <c r="A78" t="s">
        <v>546</v>
      </c>
      <c r="B78" t="str">
        <f t="shared" si="13"/>
        <v>CompanyBusinessModel</v>
      </c>
      <c r="C78" t="str">
        <f t="shared" si="14"/>
        <v>BUSINESS MODEL (Drop down depends on the selected Account type)</v>
      </c>
      <c r="D78" s="177" t="str">
        <f t="shared" si="14"/>
        <v>Money Services Business (“MSBs”) or Money Transmitters (“MSTs”)</v>
      </c>
      <c r="E78" s="1" t="s">
        <v>1227</v>
      </c>
      <c r="F78" s="42">
        <v>8</v>
      </c>
      <c r="G78" t="str">
        <f>IF('Company Info, Intended Activity'!$C$25=FieldValidation!D78,F78,"")</f>
        <v/>
      </c>
      <c r="H78" t="str">
        <f>IF('Company Info, Intended Activity'!$C$25=FieldValidation!D78,E78,"")</f>
        <v/>
      </c>
      <c r="I78" s="156" t="s">
        <v>1238</v>
      </c>
      <c r="J78" s="156" t="s">
        <v>1238</v>
      </c>
    </row>
    <row r="79" spans="1:10" ht="12" customHeight="1" x14ac:dyDescent="0.25">
      <c r="A79" t="s">
        <v>546</v>
      </c>
      <c r="B79" t="str">
        <f t="shared" si="13"/>
        <v>CompanyBusinessModel</v>
      </c>
      <c r="C79" t="str">
        <f t="shared" si="14"/>
        <v>BUSINESS MODEL (Drop down depends on the selected Account type)</v>
      </c>
      <c r="D79" s="177" t="str">
        <f t="shared" si="14"/>
        <v>Money Services Business (“MSBs”) or Money Transmitters (“MSTs”)</v>
      </c>
      <c r="E79" s="1" t="s">
        <v>1311</v>
      </c>
      <c r="F79" s="42">
        <v>9</v>
      </c>
      <c r="G79" t="str">
        <f>IF('Company Info, Intended Activity'!$C$25=FieldValidation!D79,F79,"")</f>
        <v/>
      </c>
      <c r="H79" t="str">
        <f>IF('Company Info, Intended Activity'!$C$25=FieldValidation!D79,E79,"")</f>
        <v/>
      </c>
      <c r="I79" s="156" t="s">
        <v>1238</v>
      </c>
      <c r="J79" s="156" t="s">
        <v>1238</v>
      </c>
    </row>
    <row r="80" spans="1:10" ht="12" customHeight="1" x14ac:dyDescent="0.25">
      <c r="A80" t="s">
        <v>546</v>
      </c>
      <c r="B80" t="str">
        <f t="shared" si="13"/>
        <v>CompanyBusinessModel</v>
      </c>
      <c r="C80" t="str">
        <f t="shared" si="14"/>
        <v>BUSINESS MODEL (Drop down depends on the selected Account type)</v>
      </c>
      <c r="D80" s="177" t="str">
        <f t="shared" si="14"/>
        <v>Money Services Business (“MSBs”) or Money Transmitters (“MSTs”)</v>
      </c>
      <c r="E80" s="1" t="s">
        <v>1228</v>
      </c>
      <c r="F80" s="42">
        <v>10</v>
      </c>
      <c r="G80" t="str">
        <f>IF('Company Info, Intended Activity'!$C$25=FieldValidation!D80,F80,"")</f>
        <v/>
      </c>
      <c r="H80" t="str">
        <f>IF('Company Info, Intended Activity'!$C$25=FieldValidation!D80,E80,"")</f>
        <v/>
      </c>
      <c r="I80" s="156" t="s">
        <v>1238</v>
      </c>
      <c r="J80" s="156" t="s">
        <v>1238</v>
      </c>
    </row>
    <row r="81" spans="1:10" ht="12" customHeight="1" x14ac:dyDescent="0.25">
      <c r="A81" t="s">
        <v>546</v>
      </c>
      <c r="B81" t="str">
        <f t="shared" si="13"/>
        <v>CompanyBusinessModel</v>
      </c>
      <c r="C81" t="str">
        <f t="shared" si="14"/>
        <v>BUSINESS MODEL (Drop down depends on the selected Account type)</v>
      </c>
      <c r="D81" s="177" t="str">
        <f t="shared" si="14"/>
        <v>Money Services Business (“MSBs”) or Money Transmitters (“MSTs”)</v>
      </c>
      <c r="E81" s="1" t="s">
        <v>1229</v>
      </c>
      <c r="F81" s="42">
        <v>11</v>
      </c>
      <c r="G81" t="str">
        <f>IF('Company Info, Intended Activity'!$C$25=FieldValidation!D81,F81,"")</f>
        <v/>
      </c>
      <c r="H81" t="str">
        <f>IF('Company Info, Intended Activity'!$C$25=FieldValidation!D81,E81,"")</f>
        <v/>
      </c>
      <c r="I81" s="156" t="s">
        <v>1255</v>
      </c>
      <c r="J81" s="156" t="s">
        <v>1238</v>
      </c>
    </row>
    <row r="82" spans="1:10" ht="12" customHeight="1" x14ac:dyDescent="0.25">
      <c r="A82" t="s">
        <v>546</v>
      </c>
      <c r="B82" t="str">
        <f t="shared" si="13"/>
        <v>CompanyBusinessModel</v>
      </c>
      <c r="C82" t="str">
        <f t="shared" si="14"/>
        <v>BUSINESS MODEL (Drop down depends on the selected Account type)</v>
      </c>
      <c r="D82" s="177" t="str">
        <f t="shared" si="14"/>
        <v>Money Services Business (“MSBs”) or Money Transmitters (“MSTs”)</v>
      </c>
      <c r="E82" s="1" t="s">
        <v>1230</v>
      </c>
      <c r="F82" s="42">
        <v>12</v>
      </c>
      <c r="G82" t="str">
        <f>IF('Company Info, Intended Activity'!$C$25=FieldValidation!D82,F82,"")</f>
        <v/>
      </c>
      <c r="H82" t="str">
        <f>IF('Company Info, Intended Activity'!$C$25=FieldValidation!D82,E82,"")</f>
        <v/>
      </c>
      <c r="I82" s="156" t="s">
        <v>1238</v>
      </c>
      <c r="J82" s="156" t="s">
        <v>1238</v>
      </c>
    </row>
    <row r="83" spans="1:10" ht="12" customHeight="1" x14ac:dyDescent="0.25">
      <c r="A83" t="s">
        <v>546</v>
      </c>
      <c r="B83" t="str">
        <f t="shared" si="13"/>
        <v>CompanyBusinessModel</v>
      </c>
      <c r="C83" t="str">
        <f t="shared" si="14"/>
        <v>BUSINESS MODEL (Drop down depends on the selected Account type)</v>
      </c>
      <c r="D83" s="157" t="s">
        <v>1178</v>
      </c>
      <c r="E83" s="1" t="str">
        <f>D83</f>
        <v>Mining Companies/Node Operators/ Mining Hardware Companies</v>
      </c>
      <c r="F83" s="42">
        <v>1</v>
      </c>
      <c r="G83" t="str">
        <f>IF('Company Info, Intended Activity'!$C$25=FieldValidation!D83,F83,"")</f>
        <v/>
      </c>
      <c r="H83" t="str">
        <f>IF('Company Info, Intended Activity'!$C$25=FieldValidation!D83,E83,"")</f>
        <v/>
      </c>
      <c r="I83" s="156" t="s">
        <v>1239</v>
      </c>
      <c r="J83" s="156" t="s">
        <v>1239</v>
      </c>
    </row>
    <row r="84" spans="1:10" ht="12" customHeight="1" x14ac:dyDescent="0.25">
      <c r="A84" t="s">
        <v>546</v>
      </c>
      <c r="B84" t="str">
        <f t="shared" si="13"/>
        <v>CompanyBusinessModel</v>
      </c>
      <c r="C84" t="str">
        <f t="shared" si="14"/>
        <v>BUSINESS MODEL (Drop down depends on the selected Account type)</v>
      </c>
      <c r="D84" s="157" t="s">
        <v>1312</v>
      </c>
      <c r="E84" s="1" t="str">
        <f>D84</f>
        <v>Initial Coin Offerings (“ICO”)</v>
      </c>
      <c r="F84" s="42">
        <v>1</v>
      </c>
      <c r="G84" t="str">
        <f>IF('Company Info, Intended Activity'!$C$25=FieldValidation!D84,F84,"")</f>
        <v/>
      </c>
      <c r="H84" t="str">
        <f>IF('Company Info, Intended Activity'!$C$25=FieldValidation!D84,E84,"")</f>
        <v/>
      </c>
      <c r="I84" s="156" t="s">
        <v>1240</v>
      </c>
      <c r="J84" s="156" t="s">
        <v>1240</v>
      </c>
    </row>
    <row r="85" spans="1:10" ht="12" customHeight="1" x14ac:dyDescent="0.25">
      <c r="A85" t="s">
        <v>546</v>
      </c>
      <c r="B85" t="str">
        <f t="shared" si="13"/>
        <v>CompanyBusinessModel</v>
      </c>
      <c r="C85" t="str">
        <f t="shared" si="14"/>
        <v>BUSINESS MODEL (Drop down depends on the selected Account type)</v>
      </c>
      <c r="D85" s="157" t="s">
        <v>536</v>
      </c>
      <c r="E85" s="1" t="str">
        <f>D85</f>
        <v>Trust</v>
      </c>
      <c r="F85" s="42">
        <v>1</v>
      </c>
      <c r="G85" t="str">
        <f>IF('Company Info, Intended Activity'!$C$25=FieldValidation!D85,F85,"")</f>
        <v/>
      </c>
      <c r="H85" t="str">
        <f>IF('Company Info, Intended Activity'!$C$25=FieldValidation!D85,E85,"")</f>
        <v/>
      </c>
      <c r="I85" s="156" t="s">
        <v>1275</v>
      </c>
      <c r="J85" s="156" t="s">
        <v>1275</v>
      </c>
    </row>
    <row r="86" spans="1:10" ht="12" customHeight="1" x14ac:dyDescent="0.25">
      <c r="A86" t="s">
        <v>546</v>
      </c>
    </row>
    <row r="87" spans="1:10" ht="12" customHeight="1" x14ac:dyDescent="0.25">
      <c r="A87" t="s">
        <v>546</v>
      </c>
      <c r="B87" t="str">
        <f>'Company Info, Intended Activity'!G34</f>
        <v>CompanySourceOfFunds</v>
      </c>
      <c r="C87" t="str">
        <f>'Company Info, Intended Activity'!B34</f>
        <v>What is the source of the funds that you will deposit to your Bitstamp account?</v>
      </c>
      <c r="E87" s="1" t="s">
        <v>518</v>
      </c>
    </row>
    <row r="88" spans="1:10" ht="12" customHeight="1" x14ac:dyDescent="0.25">
      <c r="A88" t="s">
        <v>546</v>
      </c>
      <c r="B88" t="str">
        <f t="shared" ref="B88:B89" si="16">B87</f>
        <v>CompanySourceOfFunds</v>
      </c>
      <c r="C88" t="str">
        <f t="shared" ref="C88:C89" si="17">C87</f>
        <v>What is the source of the funds that you will deposit to your Bitstamp account?</v>
      </c>
      <c r="E88" s="1" t="s">
        <v>517</v>
      </c>
    </row>
    <row r="89" spans="1:10" ht="12" customHeight="1" x14ac:dyDescent="0.25">
      <c r="A89" t="s">
        <v>546</v>
      </c>
      <c r="B89" t="str">
        <f t="shared" si="16"/>
        <v>CompanySourceOfFunds</v>
      </c>
      <c r="C89" t="str">
        <f t="shared" si="17"/>
        <v>What is the source of the funds that you will deposit to your Bitstamp account?</v>
      </c>
      <c r="E89" s="1" t="s">
        <v>519</v>
      </c>
    </row>
    <row r="90" spans="1:10" ht="12" customHeight="1" x14ac:dyDescent="0.25">
      <c r="A90" t="s">
        <v>546</v>
      </c>
    </row>
    <row r="91" spans="1:10" ht="12" customHeight="1" x14ac:dyDescent="0.25">
      <c r="A91" t="str">
        <f t="shared" ref="A91" si="18">A90</f>
        <v>Questionnaire</v>
      </c>
      <c r="B91" t="str">
        <f>'Company Info, Intended Activity'!G36</f>
        <v>IntendedAccPurposePrimary</v>
      </c>
      <c r="C91" t="str">
        <f>'Company Info, Intended Activity'!B36</f>
        <v>Intended account purpose (primary)</v>
      </c>
      <c r="E91" s="2" t="s">
        <v>520</v>
      </c>
      <c r="F91" s="151"/>
    </row>
    <row r="92" spans="1:10" ht="12" customHeight="1" x14ac:dyDescent="0.25">
      <c r="A92" t="str">
        <f t="shared" ref="A92" si="19">A91</f>
        <v>Questionnaire</v>
      </c>
      <c r="B92" t="str">
        <f t="shared" ref="B92:B108" si="20">B91</f>
        <v>IntendedAccPurposePrimary</v>
      </c>
      <c r="C92" t="str">
        <f t="shared" ref="C92:C108" si="21">C91</f>
        <v>Intended account purpose (primary)</v>
      </c>
      <c r="E92" s="2" t="s">
        <v>521</v>
      </c>
      <c r="F92" s="151"/>
    </row>
    <row r="93" spans="1:10" ht="12" customHeight="1" x14ac:dyDescent="0.25">
      <c r="A93" t="str">
        <f t="shared" ref="A93" si="22">A92</f>
        <v>Questionnaire</v>
      </c>
      <c r="B93" t="str">
        <f t="shared" si="20"/>
        <v>IntendedAccPurposePrimary</v>
      </c>
      <c r="C93" t="str">
        <f t="shared" si="21"/>
        <v>Intended account purpose (primary)</v>
      </c>
      <c r="E93" s="2" t="s">
        <v>522</v>
      </c>
      <c r="F93" s="151"/>
    </row>
    <row r="94" spans="1:10" ht="12" customHeight="1" x14ac:dyDescent="0.25">
      <c r="A94" t="str">
        <f t="shared" ref="A94" si="23">A93</f>
        <v>Questionnaire</v>
      </c>
      <c r="B94" t="str">
        <f t="shared" si="20"/>
        <v>IntendedAccPurposePrimary</v>
      </c>
      <c r="C94" t="str">
        <f t="shared" si="21"/>
        <v>Intended account purpose (primary)</v>
      </c>
      <c r="E94" s="2" t="s">
        <v>523</v>
      </c>
      <c r="F94" s="151"/>
    </row>
    <row r="95" spans="1:10" ht="12" customHeight="1" x14ac:dyDescent="0.25">
      <c r="A95" t="str">
        <f t="shared" ref="A95" si="24">A94</f>
        <v>Questionnaire</v>
      </c>
      <c r="B95" t="str">
        <f t="shared" si="20"/>
        <v>IntendedAccPurposePrimary</v>
      </c>
      <c r="C95" t="str">
        <f t="shared" si="21"/>
        <v>Intended account purpose (primary)</v>
      </c>
      <c r="E95" s="2" t="s">
        <v>524</v>
      </c>
      <c r="F95" s="151"/>
    </row>
    <row r="96" spans="1:10" ht="12" customHeight="1" x14ac:dyDescent="0.25">
      <c r="A96" t="str">
        <f t="shared" ref="A96" si="25">A95</f>
        <v>Questionnaire</v>
      </c>
      <c r="B96" t="str">
        <f t="shared" si="20"/>
        <v>IntendedAccPurposePrimary</v>
      </c>
      <c r="C96" t="str">
        <f t="shared" si="21"/>
        <v>Intended account purpose (primary)</v>
      </c>
      <c r="E96" s="2" t="s">
        <v>525</v>
      </c>
      <c r="F96" s="151"/>
    </row>
    <row r="97" spans="1:6" ht="12" customHeight="1" x14ac:dyDescent="0.25">
      <c r="A97" t="str">
        <f t="shared" ref="A97" si="26">A96</f>
        <v>Questionnaire</v>
      </c>
      <c r="B97" t="str">
        <f t="shared" si="20"/>
        <v>IntendedAccPurposePrimary</v>
      </c>
      <c r="C97" t="str">
        <f t="shared" si="21"/>
        <v>Intended account purpose (primary)</v>
      </c>
      <c r="E97" s="2" t="s">
        <v>526</v>
      </c>
      <c r="F97" s="151"/>
    </row>
    <row r="98" spans="1:6" ht="12" customHeight="1" x14ac:dyDescent="0.25">
      <c r="A98" t="str">
        <f t="shared" ref="A98" si="27">A97</f>
        <v>Questionnaire</v>
      </c>
      <c r="B98" t="str">
        <f t="shared" si="20"/>
        <v>IntendedAccPurposePrimary</v>
      </c>
      <c r="C98" t="str">
        <f t="shared" si="21"/>
        <v>Intended account purpose (primary)</v>
      </c>
      <c r="E98" s="2" t="s">
        <v>527</v>
      </c>
      <c r="F98" s="151"/>
    </row>
    <row r="99" spans="1:6" ht="12" customHeight="1" x14ac:dyDescent="0.25">
      <c r="A99" t="str">
        <f t="shared" ref="A99" si="28">A98</f>
        <v>Questionnaire</v>
      </c>
      <c r="B99" t="str">
        <f t="shared" si="20"/>
        <v>IntendedAccPurposePrimary</v>
      </c>
      <c r="C99" t="str">
        <f t="shared" si="21"/>
        <v>Intended account purpose (primary)</v>
      </c>
      <c r="E99" s="2" t="s">
        <v>528</v>
      </c>
      <c r="F99" s="151"/>
    </row>
    <row r="100" spans="1:6" ht="12" customHeight="1" x14ac:dyDescent="0.25">
      <c r="A100" t="str">
        <f t="shared" ref="A100" si="29">A99</f>
        <v>Questionnaire</v>
      </c>
      <c r="B100" t="str">
        <f t="shared" si="20"/>
        <v>IntendedAccPurposePrimary</v>
      </c>
      <c r="C100" t="str">
        <f t="shared" si="21"/>
        <v>Intended account purpose (primary)</v>
      </c>
      <c r="E100" s="2" t="s">
        <v>529</v>
      </c>
      <c r="F100" s="151"/>
    </row>
    <row r="101" spans="1:6" ht="12" customHeight="1" x14ac:dyDescent="0.25">
      <c r="A101" t="str">
        <f t="shared" ref="A101" si="30">A100</f>
        <v>Questionnaire</v>
      </c>
      <c r="B101" t="str">
        <f t="shared" si="20"/>
        <v>IntendedAccPurposePrimary</v>
      </c>
      <c r="C101" t="str">
        <f t="shared" si="21"/>
        <v>Intended account purpose (primary)</v>
      </c>
      <c r="E101" s="2" t="s">
        <v>530</v>
      </c>
      <c r="F101" s="151"/>
    </row>
    <row r="102" spans="1:6" ht="12" customHeight="1" x14ac:dyDescent="0.25">
      <c r="A102" t="str">
        <f t="shared" ref="A102" si="31">A101</f>
        <v>Questionnaire</v>
      </c>
      <c r="B102" t="str">
        <f t="shared" si="20"/>
        <v>IntendedAccPurposePrimary</v>
      </c>
      <c r="C102" t="str">
        <f t="shared" si="21"/>
        <v>Intended account purpose (primary)</v>
      </c>
      <c r="E102" s="2" t="s">
        <v>531</v>
      </c>
      <c r="F102" s="151"/>
    </row>
    <row r="103" spans="1:6" ht="12" customHeight="1" x14ac:dyDescent="0.25">
      <c r="A103" t="str">
        <f t="shared" ref="A103" si="32">A102</f>
        <v>Questionnaire</v>
      </c>
      <c r="B103" t="str">
        <f t="shared" si="20"/>
        <v>IntendedAccPurposePrimary</v>
      </c>
      <c r="C103" t="str">
        <f t="shared" si="21"/>
        <v>Intended account purpose (primary)</v>
      </c>
      <c r="E103" s="2" t="s">
        <v>532</v>
      </c>
      <c r="F103" s="151"/>
    </row>
    <row r="104" spans="1:6" ht="12" customHeight="1" x14ac:dyDescent="0.25">
      <c r="A104" t="str">
        <f t="shared" ref="A104" si="33">A103</f>
        <v>Questionnaire</v>
      </c>
      <c r="B104" t="str">
        <f t="shared" si="20"/>
        <v>IntendedAccPurposePrimary</v>
      </c>
      <c r="C104" t="str">
        <f t="shared" si="21"/>
        <v>Intended account purpose (primary)</v>
      </c>
      <c r="E104" s="2" t="s">
        <v>533</v>
      </c>
      <c r="F104" s="151"/>
    </row>
    <row r="105" spans="1:6" ht="12" customHeight="1" x14ac:dyDescent="0.25">
      <c r="A105" t="str">
        <f t="shared" ref="A105" si="34">A104</f>
        <v>Questionnaire</v>
      </c>
      <c r="B105" t="str">
        <f t="shared" si="20"/>
        <v>IntendedAccPurposePrimary</v>
      </c>
      <c r="C105" t="str">
        <f t="shared" si="21"/>
        <v>Intended account purpose (primary)</v>
      </c>
      <c r="E105" s="2" t="s">
        <v>535</v>
      </c>
      <c r="F105" s="151"/>
    </row>
    <row r="106" spans="1:6" ht="12" customHeight="1" x14ac:dyDescent="0.25">
      <c r="A106" t="str">
        <f t="shared" ref="A106" si="35">A105</f>
        <v>Questionnaire</v>
      </c>
      <c r="B106" t="str">
        <f t="shared" si="20"/>
        <v>IntendedAccPurposePrimary</v>
      </c>
      <c r="C106" t="str">
        <f t="shared" si="21"/>
        <v>Intended account purpose (primary)</v>
      </c>
      <c r="E106" s="2" t="s">
        <v>534</v>
      </c>
      <c r="F106" s="151"/>
    </row>
    <row r="107" spans="1:6" ht="12" customHeight="1" x14ac:dyDescent="0.25">
      <c r="A107" t="str">
        <f t="shared" ref="A107" si="36">A106</f>
        <v>Questionnaire</v>
      </c>
      <c r="B107" t="str">
        <f t="shared" si="20"/>
        <v>IntendedAccPurposePrimary</v>
      </c>
      <c r="C107" t="str">
        <f t="shared" si="21"/>
        <v>Intended account purpose (primary)</v>
      </c>
      <c r="E107" s="3" t="s">
        <v>1010</v>
      </c>
      <c r="F107" s="150"/>
    </row>
    <row r="108" spans="1:6" ht="12" customHeight="1" x14ac:dyDescent="0.25">
      <c r="A108" t="str">
        <f t="shared" ref="A108" si="37">A107</f>
        <v>Questionnaire</v>
      </c>
      <c r="B108" t="str">
        <f t="shared" si="20"/>
        <v>IntendedAccPurposePrimary</v>
      </c>
      <c r="C108" t="str">
        <f t="shared" si="21"/>
        <v>Intended account purpose (primary)</v>
      </c>
      <c r="E108" s="3" t="s">
        <v>513</v>
      </c>
      <c r="F108" s="150"/>
    </row>
    <row r="109" spans="1:6" ht="12" customHeight="1" x14ac:dyDescent="0.25">
      <c r="A109" t="str">
        <f t="shared" ref="A109" si="38">A108</f>
        <v>Questionnaire</v>
      </c>
    </row>
    <row r="110" spans="1:6" ht="12" customHeight="1" x14ac:dyDescent="0.25">
      <c r="A110" t="str">
        <f t="shared" ref="A110" si="39">A109</f>
        <v>Questionnaire</v>
      </c>
      <c r="B110" t="str">
        <f>'Company Info, Intended Activity'!G40</f>
        <v>EstAmtDepositPerYearFiat</v>
      </c>
      <c r="C110" t="str">
        <f>'Company Info, Intended Activity'!B40</f>
        <v>Estimated amount deposited per year in fiat currencies (USD, EUR, GBP)</v>
      </c>
      <c r="E110" s="1" t="s">
        <v>555</v>
      </c>
    </row>
    <row r="111" spans="1:6" ht="12" customHeight="1" x14ac:dyDescent="0.25">
      <c r="A111" t="str">
        <f t="shared" ref="A111" si="40">A110</f>
        <v>Questionnaire</v>
      </c>
      <c r="B111" t="str">
        <f>B110</f>
        <v>EstAmtDepositPerYearFiat</v>
      </c>
      <c r="C111" t="str">
        <f>C110</f>
        <v>Estimated amount deposited per year in fiat currencies (USD, EUR, GBP)</v>
      </c>
      <c r="E111" s="1" t="s">
        <v>556</v>
      </c>
    </row>
    <row r="112" spans="1:6" ht="12" customHeight="1" x14ac:dyDescent="0.25">
      <c r="A112" t="str">
        <f t="shared" ref="A112" si="41">A111</f>
        <v>Questionnaire</v>
      </c>
      <c r="B112" t="str">
        <f t="shared" ref="B112:B116" si="42">B111</f>
        <v>EstAmtDepositPerYearFiat</v>
      </c>
      <c r="C112" t="str">
        <f t="shared" ref="C112:C116" si="43">C111</f>
        <v>Estimated amount deposited per year in fiat currencies (USD, EUR, GBP)</v>
      </c>
      <c r="E112" s="1" t="s">
        <v>557</v>
      </c>
    </row>
    <row r="113" spans="1:5" ht="12" customHeight="1" x14ac:dyDescent="0.25">
      <c r="A113" t="str">
        <f t="shared" ref="A113" si="44">A112</f>
        <v>Questionnaire</v>
      </c>
      <c r="B113" t="str">
        <f t="shared" si="42"/>
        <v>EstAmtDepositPerYearFiat</v>
      </c>
      <c r="C113" t="str">
        <f t="shared" si="43"/>
        <v>Estimated amount deposited per year in fiat currencies (USD, EUR, GBP)</v>
      </c>
      <c r="E113" s="1" t="s">
        <v>552</v>
      </c>
    </row>
    <row r="114" spans="1:5" ht="12" customHeight="1" x14ac:dyDescent="0.25">
      <c r="A114" t="str">
        <f t="shared" ref="A114" si="45">A113</f>
        <v>Questionnaire</v>
      </c>
      <c r="B114" t="str">
        <f t="shared" si="42"/>
        <v>EstAmtDepositPerYearFiat</v>
      </c>
      <c r="C114" t="str">
        <f t="shared" si="43"/>
        <v>Estimated amount deposited per year in fiat currencies (USD, EUR, GBP)</v>
      </c>
      <c r="E114" s="1" t="s">
        <v>553</v>
      </c>
    </row>
    <row r="115" spans="1:5" ht="12" customHeight="1" x14ac:dyDescent="0.25">
      <c r="A115" t="str">
        <f t="shared" ref="A115" si="46">A114</f>
        <v>Questionnaire</v>
      </c>
      <c r="B115" t="str">
        <f t="shared" si="42"/>
        <v>EstAmtDepositPerYearFiat</v>
      </c>
      <c r="C115" t="str">
        <f t="shared" si="43"/>
        <v>Estimated amount deposited per year in fiat currencies (USD, EUR, GBP)</v>
      </c>
      <c r="E115" s="1" t="s">
        <v>554</v>
      </c>
    </row>
    <row r="116" spans="1:5" ht="12" customHeight="1" x14ac:dyDescent="0.25">
      <c r="A116" t="str">
        <f t="shared" ref="A116" si="47">A115</f>
        <v>Questionnaire</v>
      </c>
      <c r="B116" t="str">
        <f t="shared" si="42"/>
        <v>EstAmtDepositPerYearFiat</v>
      </c>
      <c r="C116" t="str">
        <f t="shared" si="43"/>
        <v>Estimated amount deposited per year in fiat currencies (USD, EUR, GBP)</v>
      </c>
      <c r="E116" s="1" t="s">
        <v>543</v>
      </c>
    </row>
    <row r="117" spans="1:5" ht="12" customHeight="1" x14ac:dyDescent="0.25">
      <c r="A117" t="str">
        <f t="shared" ref="A117" si="48">A116</f>
        <v>Questionnaire</v>
      </c>
    </row>
    <row r="118" spans="1:5" ht="12" customHeight="1" x14ac:dyDescent="0.25">
      <c r="A118" t="str">
        <f t="shared" ref="A118" si="49">A117</f>
        <v>Questionnaire</v>
      </c>
      <c r="B118" t="str">
        <f>'Company Info, Intended Activity'!G41</f>
        <v>EstAmtDepositPerYearCrypto</v>
      </c>
      <c r="C118" t="str">
        <f>'Company Info, Intended Activity'!B41</f>
        <v>Estimated amount deposited per year in crypto</v>
      </c>
      <c r="E118" s="1" t="s">
        <v>555</v>
      </c>
    </row>
    <row r="119" spans="1:5" ht="12" customHeight="1" x14ac:dyDescent="0.25">
      <c r="A119" t="str">
        <f t="shared" ref="A119" si="50">A118</f>
        <v>Questionnaire</v>
      </c>
      <c r="B119" t="str">
        <f t="shared" ref="B119:B124" si="51">B118</f>
        <v>EstAmtDepositPerYearCrypto</v>
      </c>
      <c r="C119" t="str">
        <f t="shared" ref="C119:C124" si="52">C118</f>
        <v>Estimated amount deposited per year in crypto</v>
      </c>
      <c r="E119" s="1" t="s">
        <v>556</v>
      </c>
    </row>
    <row r="120" spans="1:5" ht="12" customHeight="1" x14ac:dyDescent="0.25">
      <c r="A120" t="str">
        <f t="shared" ref="A120" si="53">A119</f>
        <v>Questionnaire</v>
      </c>
      <c r="B120" t="str">
        <f t="shared" si="51"/>
        <v>EstAmtDepositPerYearCrypto</v>
      </c>
      <c r="C120" t="str">
        <f t="shared" si="52"/>
        <v>Estimated amount deposited per year in crypto</v>
      </c>
      <c r="E120" s="1" t="s">
        <v>557</v>
      </c>
    </row>
    <row r="121" spans="1:5" ht="12" customHeight="1" x14ac:dyDescent="0.25">
      <c r="A121" t="str">
        <f t="shared" ref="A121" si="54">A120</f>
        <v>Questionnaire</v>
      </c>
      <c r="B121" t="str">
        <f t="shared" si="51"/>
        <v>EstAmtDepositPerYearCrypto</v>
      </c>
      <c r="C121" t="str">
        <f t="shared" si="52"/>
        <v>Estimated amount deposited per year in crypto</v>
      </c>
      <c r="E121" s="1" t="s">
        <v>552</v>
      </c>
    </row>
    <row r="122" spans="1:5" ht="12" customHeight="1" x14ac:dyDescent="0.25">
      <c r="A122" t="str">
        <f t="shared" ref="A122" si="55">A121</f>
        <v>Questionnaire</v>
      </c>
      <c r="B122" t="str">
        <f t="shared" si="51"/>
        <v>EstAmtDepositPerYearCrypto</v>
      </c>
      <c r="C122" t="str">
        <f t="shared" si="52"/>
        <v>Estimated amount deposited per year in crypto</v>
      </c>
      <c r="E122" s="1" t="s">
        <v>553</v>
      </c>
    </row>
    <row r="123" spans="1:5" ht="12" customHeight="1" x14ac:dyDescent="0.25">
      <c r="A123" t="str">
        <f t="shared" ref="A123" si="56">A122</f>
        <v>Questionnaire</v>
      </c>
      <c r="B123" t="str">
        <f t="shared" si="51"/>
        <v>EstAmtDepositPerYearCrypto</v>
      </c>
      <c r="C123" t="str">
        <f t="shared" si="52"/>
        <v>Estimated amount deposited per year in crypto</v>
      </c>
      <c r="E123" s="1" t="s">
        <v>554</v>
      </c>
    </row>
    <row r="124" spans="1:5" ht="12" customHeight="1" x14ac:dyDescent="0.25">
      <c r="A124" t="str">
        <f t="shared" ref="A124" si="57">A123</f>
        <v>Questionnaire</v>
      </c>
      <c r="B124" t="str">
        <f t="shared" si="51"/>
        <v>EstAmtDepositPerYearCrypto</v>
      </c>
      <c r="C124" t="str">
        <f t="shared" si="52"/>
        <v>Estimated amount deposited per year in crypto</v>
      </c>
      <c r="E124" s="1" t="s">
        <v>543</v>
      </c>
    </row>
    <row r="125" spans="1:5" ht="12" customHeight="1" x14ac:dyDescent="0.25">
      <c r="A125" t="str">
        <f t="shared" ref="A125" si="58">A124</f>
        <v>Questionnaire</v>
      </c>
    </row>
    <row r="126" spans="1:5" ht="12" customHeight="1" x14ac:dyDescent="0.25">
      <c r="A126" t="str">
        <f t="shared" ref="A126" si="59">A125</f>
        <v>Questionnaire</v>
      </c>
      <c r="B126" t="str">
        <f>'Company Info, Intended Activity'!G42</f>
        <v>EstNumDepositPerYearFiat</v>
      </c>
      <c r="C126" t="str">
        <f>'Company Info, Intended Activity'!B42</f>
        <v>Estimated number of deposits per year in fiat curr. (USD, EUR, GBP) - deposit frequency</v>
      </c>
      <c r="E126" s="1" t="s">
        <v>558</v>
      </c>
    </row>
    <row r="127" spans="1:5" ht="12" customHeight="1" x14ac:dyDescent="0.25">
      <c r="A127" t="str">
        <f t="shared" ref="A127" si="60">A126</f>
        <v>Questionnaire</v>
      </c>
      <c r="B127" t="str">
        <f t="shared" ref="B127:B130" si="61">B126</f>
        <v>EstNumDepositPerYearFiat</v>
      </c>
      <c r="C127" t="str">
        <f t="shared" ref="C127:C130" si="62">C126</f>
        <v>Estimated number of deposits per year in fiat curr. (USD, EUR, GBP) - deposit frequency</v>
      </c>
      <c r="E127" s="1" t="s">
        <v>559</v>
      </c>
    </row>
    <row r="128" spans="1:5" ht="12" customHeight="1" x14ac:dyDescent="0.25">
      <c r="A128" t="str">
        <f t="shared" ref="A128" si="63">A127</f>
        <v>Questionnaire</v>
      </c>
      <c r="B128" t="str">
        <f t="shared" si="61"/>
        <v>EstNumDepositPerYearFiat</v>
      </c>
      <c r="C128" t="str">
        <f t="shared" si="62"/>
        <v>Estimated number of deposits per year in fiat curr. (USD, EUR, GBP) - deposit frequency</v>
      </c>
      <c r="E128" s="1" t="s">
        <v>560</v>
      </c>
    </row>
    <row r="129" spans="1:5" ht="12" customHeight="1" x14ac:dyDescent="0.25">
      <c r="A129" t="str">
        <f t="shared" ref="A129" si="64">A128</f>
        <v>Questionnaire</v>
      </c>
      <c r="B129" t="str">
        <f t="shared" si="61"/>
        <v>EstNumDepositPerYearFiat</v>
      </c>
      <c r="C129" t="str">
        <f t="shared" si="62"/>
        <v>Estimated number of deposits per year in fiat curr. (USD, EUR, GBP) - deposit frequency</v>
      </c>
      <c r="E129" s="1" t="s">
        <v>561</v>
      </c>
    </row>
    <row r="130" spans="1:5" ht="12" customHeight="1" x14ac:dyDescent="0.25">
      <c r="A130" t="str">
        <f t="shared" ref="A130" si="65">A129</f>
        <v>Questionnaire</v>
      </c>
      <c r="B130" t="str">
        <f t="shared" si="61"/>
        <v>EstNumDepositPerYearFiat</v>
      </c>
      <c r="C130" t="str">
        <f t="shared" si="62"/>
        <v>Estimated number of deposits per year in fiat curr. (USD, EUR, GBP) - deposit frequency</v>
      </c>
      <c r="E130" s="1" t="s">
        <v>544</v>
      </c>
    </row>
    <row r="131" spans="1:5" ht="12" customHeight="1" x14ac:dyDescent="0.25">
      <c r="A131" t="str">
        <f t="shared" ref="A131" si="66">A130</f>
        <v>Questionnaire</v>
      </c>
    </row>
    <row r="132" spans="1:5" ht="12" customHeight="1" x14ac:dyDescent="0.25">
      <c r="A132" t="str">
        <f t="shared" ref="A132" si="67">A131</f>
        <v>Questionnaire</v>
      </c>
      <c r="B132" t="str">
        <f>'Company Info, Intended Activity'!G43</f>
        <v>EstNumDepositPerYearCrypto</v>
      </c>
      <c r="C132" t="str">
        <f>'Company Info, Intended Activity'!B43</f>
        <v>Estimated number of deposits per year in crypto - deposit frequency</v>
      </c>
      <c r="E132" s="1" t="s">
        <v>558</v>
      </c>
    </row>
    <row r="133" spans="1:5" ht="12" customHeight="1" x14ac:dyDescent="0.25">
      <c r="A133" t="str">
        <f t="shared" ref="A133" si="68">A132</f>
        <v>Questionnaire</v>
      </c>
      <c r="B133" t="str">
        <f t="shared" ref="B133:B136" si="69">B132</f>
        <v>EstNumDepositPerYearCrypto</v>
      </c>
      <c r="C133" t="str">
        <f t="shared" ref="C133:C136" si="70">C132</f>
        <v>Estimated number of deposits per year in crypto - deposit frequency</v>
      </c>
      <c r="E133" s="1" t="s">
        <v>559</v>
      </c>
    </row>
    <row r="134" spans="1:5" ht="12" customHeight="1" x14ac:dyDescent="0.25">
      <c r="A134" t="str">
        <f t="shared" ref="A134" si="71">A133</f>
        <v>Questionnaire</v>
      </c>
      <c r="B134" t="str">
        <f t="shared" si="69"/>
        <v>EstNumDepositPerYearCrypto</v>
      </c>
      <c r="C134" t="str">
        <f t="shared" si="70"/>
        <v>Estimated number of deposits per year in crypto - deposit frequency</v>
      </c>
      <c r="E134" s="1" t="s">
        <v>560</v>
      </c>
    </row>
    <row r="135" spans="1:5" ht="12" customHeight="1" x14ac:dyDescent="0.25">
      <c r="A135" t="str">
        <f t="shared" ref="A135" si="72">A134</f>
        <v>Questionnaire</v>
      </c>
      <c r="B135" t="str">
        <f t="shared" si="69"/>
        <v>EstNumDepositPerYearCrypto</v>
      </c>
      <c r="C135" t="str">
        <f t="shared" si="70"/>
        <v>Estimated number of deposits per year in crypto - deposit frequency</v>
      </c>
      <c r="E135" s="1" t="s">
        <v>561</v>
      </c>
    </row>
    <row r="136" spans="1:5" ht="12" customHeight="1" x14ac:dyDescent="0.25">
      <c r="A136" t="str">
        <f t="shared" ref="A136" si="73">A135</f>
        <v>Questionnaire</v>
      </c>
      <c r="B136" t="str">
        <f t="shared" si="69"/>
        <v>EstNumDepositPerYearCrypto</v>
      </c>
      <c r="C136" t="str">
        <f t="shared" si="70"/>
        <v>Estimated number of deposits per year in crypto - deposit frequency</v>
      </c>
      <c r="E136" s="1" t="s">
        <v>544</v>
      </c>
    </row>
    <row r="137" spans="1:5" ht="12" customHeight="1" x14ac:dyDescent="0.25">
      <c r="A137" t="str">
        <f t="shared" ref="A137" si="74">A136</f>
        <v>Questionnaire</v>
      </c>
    </row>
    <row r="138" spans="1:5" ht="12" customHeight="1" x14ac:dyDescent="0.25">
      <c r="A138" t="str">
        <f t="shared" ref="A138" si="75">A137</f>
        <v>Questionnaire</v>
      </c>
      <c r="B138" t="str">
        <f>'Company Info, Intended Activity'!G44</f>
        <v>EstAmtWithdrPerYearFiat</v>
      </c>
      <c r="C138" t="str">
        <f>'Company Info, Intended Activity'!B44</f>
        <v>Estimated amount withdrawn per year in fiat currencies (USD, EUR, GBP)</v>
      </c>
      <c r="E138" s="1" t="s">
        <v>555</v>
      </c>
    </row>
    <row r="139" spans="1:5" ht="12" customHeight="1" x14ac:dyDescent="0.25">
      <c r="A139" t="str">
        <f t="shared" ref="A139" si="76">A138</f>
        <v>Questionnaire</v>
      </c>
      <c r="B139" t="str">
        <f>B138</f>
        <v>EstAmtWithdrPerYearFiat</v>
      </c>
      <c r="C139" t="str">
        <f>C138</f>
        <v>Estimated amount withdrawn per year in fiat currencies (USD, EUR, GBP)</v>
      </c>
      <c r="E139" s="1" t="s">
        <v>556</v>
      </c>
    </row>
    <row r="140" spans="1:5" ht="12" customHeight="1" x14ac:dyDescent="0.25">
      <c r="A140" t="str">
        <f t="shared" ref="A140" si="77">A139</f>
        <v>Questionnaire</v>
      </c>
      <c r="B140" t="str">
        <f t="shared" ref="B140:B144" si="78">B139</f>
        <v>EstAmtWithdrPerYearFiat</v>
      </c>
      <c r="C140" t="str">
        <f t="shared" ref="C140:C144" si="79">C139</f>
        <v>Estimated amount withdrawn per year in fiat currencies (USD, EUR, GBP)</v>
      </c>
      <c r="E140" s="1" t="s">
        <v>557</v>
      </c>
    </row>
    <row r="141" spans="1:5" ht="12" customHeight="1" x14ac:dyDescent="0.25">
      <c r="A141" t="str">
        <f t="shared" ref="A141" si="80">A140</f>
        <v>Questionnaire</v>
      </c>
      <c r="B141" t="str">
        <f t="shared" si="78"/>
        <v>EstAmtWithdrPerYearFiat</v>
      </c>
      <c r="C141" t="str">
        <f t="shared" si="79"/>
        <v>Estimated amount withdrawn per year in fiat currencies (USD, EUR, GBP)</v>
      </c>
      <c r="E141" s="1" t="s">
        <v>552</v>
      </c>
    </row>
    <row r="142" spans="1:5" ht="12" customHeight="1" x14ac:dyDescent="0.25">
      <c r="A142" t="str">
        <f t="shared" ref="A142" si="81">A141</f>
        <v>Questionnaire</v>
      </c>
      <c r="B142" t="str">
        <f t="shared" si="78"/>
        <v>EstAmtWithdrPerYearFiat</v>
      </c>
      <c r="C142" t="str">
        <f t="shared" si="79"/>
        <v>Estimated amount withdrawn per year in fiat currencies (USD, EUR, GBP)</v>
      </c>
      <c r="E142" s="1" t="s">
        <v>553</v>
      </c>
    </row>
    <row r="143" spans="1:5" ht="12" customHeight="1" x14ac:dyDescent="0.25">
      <c r="A143" t="str">
        <f t="shared" ref="A143" si="82">A142</f>
        <v>Questionnaire</v>
      </c>
      <c r="B143" t="str">
        <f t="shared" si="78"/>
        <v>EstAmtWithdrPerYearFiat</v>
      </c>
      <c r="C143" t="str">
        <f t="shared" si="79"/>
        <v>Estimated amount withdrawn per year in fiat currencies (USD, EUR, GBP)</v>
      </c>
      <c r="E143" s="1" t="s">
        <v>554</v>
      </c>
    </row>
    <row r="144" spans="1:5" ht="12" customHeight="1" x14ac:dyDescent="0.25">
      <c r="A144" t="str">
        <f t="shared" ref="A144" si="83">A143</f>
        <v>Questionnaire</v>
      </c>
      <c r="B144" t="str">
        <f t="shared" si="78"/>
        <v>EstAmtWithdrPerYearFiat</v>
      </c>
      <c r="C144" t="str">
        <f t="shared" si="79"/>
        <v>Estimated amount withdrawn per year in fiat currencies (USD, EUR, GBP)</v>
      </c>
      <c r="E144" s="1" t="s">
        <v>543</v>
      </c>
    </row>
    <row r="145" spans="1:5" ht="12" customHeight="1" x14ac:dyDescent="0.25">
      <c r="A145" t="str">
        <f t="shared" ref="A145" si="84">A144</f>
        <v>Questionnaire</v>
      </c>
    </row>
    <row r="146" spans="1:5" ht="12" customHeight="1" x14ac:dyDescent="0.25">
      <c r="A146" t="str">
        <f t="shared" ref="A146" si="85">A145</f>
        <v>Questionnaire</v>
      </c>
      <c r="B146" t="str">
        <f>'Company Info, Intended Activity'!G45</f>
        <v>EstAmtWithdrPerYearCrypto</v>
      </c>
      <c r="C146" t="str">
        <f>'Company Info, Intended Activity'!B45</f>
        <v>Estimated amount withdrawn per year in crypto</v>
      </c>
      <c r="E146" s="1" t="s">
        <v>555</v>
      </c>
    </row>
    <row r="147" spans="1:5" ht="12" customHeight="1" x14ac:dyDescent="0.25">
      <c r="A147" t="str">
        <f t="shared" ref="A147" si="86">A146</f>
        <v>Questionnaire</v>
      </c>
      <c r="B147" t="str">
        <f t="shared" ref="B147:B152" si="87">B146</f>
        <v>EstAmtWithdrPerYearCrypto</v>
      </c>
      <c r="C147" t="str">
        <f t="shared" ref="C147:C152" si="88">C146</f>
        <v>Estimated amount withdrawn per year in crypto</v>
      </c>
      <c r="E147" s="1" t="s">
        <v>556</v>
      </c>
    </row>
    <row r="148" spans="1:5" ht="12" customHeight="1" x14ac:dyDescent="0.25">
      <c r="A148" t="str">
        <f t="shared" ref="A148" si="89">A147</f>
        <v>Questionnaire</v>
      </c>
      <c r="B148" t="str">
        <f t="shared" si="87"/>
        <v>EstAmtWithdrPerYearCrypto</v>
      </c>
      <c r="C148" t="str">
        <f t="shared" si="88"/>
        <v>Estimated amount withdrawn per year in crypto</v>
      </c>
      <c r="E148" s="1" t="s">
        <v>557</v>
      </c>
    </row>
    <row r="149" spans="1:5" ht="12" customHeight="1" x14ac:dyDescent="0.25">
      <c r="A149" t="str">
        <f t="shared" ref="A149" si="90">A148</f>
        <v>Questionnaire</v>
      </c>
      <c r="B149" t="str">
        <f t="shared" si="87"/>
        <v>EstAmtWithdrPerYearCrypto</v>
      </c>
      <c r="C149" t="str">
        <f t="shared" si="88"/>
        <v>Estimated amount withdrawn per year in crypto</v>
      </c>
      <c r="E149" s="1" t="s">
        <v>552</v>
      </c>
    </row>
    <row r="150" spans="1:5" ht="12" customHeight="1" x14ac:dyDescent="0.25">
      <c r="A150" t="str">
        <f t="shared" ref="A150" si="91">A149</f>
        <v>Questionnaire</v>
      </c>
      <c r="B150" t="str">
        <f t="shared" si="87"/>
        <v>EstAmtWithdrPerYearCrypto</v>
      </c>
      <c r="C150" t="str">
        <f t="shared" si="88"/>
        <v>Estimated amount withdrawn per year in crypto</v>
      </c>
      <c r="E150" s="1" t="s">
        <v>553</v>
      </c>
    </row>
    <row r="151" spans="1:5" ht="12" customHeight="1" x14ac:dyDescent="0.25">
      <c r="A151" t="str">
        <f t="shared" ref="A151" si="92">A150</f>
        <v>Questionnaire</v>
      </c>
      <c r="B151" t="str">
        <f t="shared" si="87"/>
        <v>EstAmtWithdrPerYearCrypto</v>
      </c>
      <c r="C151" t="str">
        <f t="shared" si="88"/>
        <v>Estimated amount withdrawn per year in crypto</v>
      </c>
      <c r="E151" s="1" t="s">
        <v>554</v>
      </c>
    </row>
    <row r="152" spans="1:5" ht="12" customHeight="1" x14ac:dyDescent="0.25">
      <c r="A152" t="str">
        <f t="shared" ref="A152" si="93">A151</f>
        <v>Questionnaire</v>
      </c>
      <c r="B152" t="str">
        <f t="shared" si="87"/>
        <v>EstAmtWithdrPerYearCrypto</v>
      </c>
      <c r="C152" t="str">
        <f t="shared" si="88"/>
        <v>Estimated amount withdrawn per year in crypto</v>
      </c>
      <c r="E152" s="1" t="s">
        <v>543</v>
      </c>
    </row>
    <row r="153" spans="1:5" ht="12" customHeight="1" x14ac:dyDescent="0.25">
      <c r="A153" t="str">
        <f t="shared" ref="A153" si="94">A152</f>
        <v>Questionnaire</v>
      </c>
    </row>
    <row r="154" spans="1:5" ht="12" customHeight="1" x14ac:dyDescent="0.25">
      <c r="A154" t="str">
        <f t="shared" ref="A154" si="95">A153</f>
        <v>Questionnaire</v>
      </c>
      <c r="B154" t="str">
        <f>'Company Info, Intended Activity'!G46</f>
        <v>EstNumWithdrPerYearFiat</v>
      </c>
      <c r="C154" t="str">
        <f>'Company Info, Intended Activity'!B46</f>
        <v>Est. number of withdrawals per year in fiat curr. (USD, EUR, GBP) - withdr. frequency</v>
      </c>
      <c r="E154" s="1" t="s">
        <v>558</v>
      </c>
    </row>
    <row r="155" spans="1:5" ht="12" customHeight="1" x14ac:dyDescent="0.25">
      <c r="A155" t="str">
        <f t="shared" ref="A155" si="96">A154</f>
        <v>Questionnaire</v>
      </c>
      <c r="B155" t="str">
        <f t="shared" ref="B155:B158" si="97">B154</f>
        <v>EstNumWithdrPerYearFiat</v>
      </c>
      <c r="C155" t="str">
        <f t="shared" ref="C155:C158" si="98">C154</f>
        <v>Est. number of withdrawals per year in fiat curr. (USD, EUR, GBP) - withdr. frequency</v>
      </c>
      <c r="E155" s="1" t="s">
        <v>559</v>
      </c>
    </row>
    <row r="156" spans="1:5" ht="12" customHeight="1" x14ac:dyDescent="0.25">
      <c r="A156" t="str">
        <f t="shared" ref="A156" si="99">A155</f>
        <v>Questionnaire</v>
      </c>
      <c r="B156" t="str">
        <f t="shared" si="97"/>
        <v>EstNumWithdrPerYearFiat</v>
      </c>
      <c r="C156" t="str">
        <f t="shared" si="98"/>
        <v>Est. number of withdrawals per year in fiat curr. (USD, EUR, GBP) - withdr. frequency</v>
      </c>
      <c r="E156" s="1" t="s">
        <v>560</v>
      </c>
    </row>
    <row r="157" spans="1:5" ht="12" customHeight="1" x14ac:dyDescent="0.25">
      <c r="A157" t="str">
        <f t="shared" ref="A157" si="100">A156</f>
        <v>Questionnaire</v>
      </c>
      <c r="B157" t="str">
        <f t="shared" si="97"/>
        <v>EstNumWithdrPerYearFiat</v>
      </c>
      <c r="C157" t="str">
        <f t="shared" si="98"/>
        <v>Est. number of withdrawals per year in fiat curr. (USD, EUR, GBP) - withdr. frequency</v>
      </c>
      <c r="E157" s="1" t="s">
        <v>561</v>
      </c>
    </row>
    <row r="158" spans="1:5" ht="12" customHeight="1" x14ac:dyDescent="0.25">
      <c r="A158" t="str">
        <f t="shared" ref="A158" si="101">A157</f>
        <v>Questionnaire</v>
      </c>
      <c r="B158" t="str">
        <f t="shared" si="97"/>
        <v>EstNumWithdrPerYearFiat</v>
      </c>
      <c r="C158" t="str">
        <f t="shared" si="98"/>
        <v>Est. number of withdrawals per year in fiat curr. (USD, EUR, GBP) - withdr. frequency</v>
      </c>
      <c r="E158" s="1" t="s">
        <v>544</v>
      </c>
    </row>
    <row r="159" spans="1:5" ht="12" customHeight="1" x14ac:dyDescent="0.25">
      <c r="A159" t="str">
        <f t="shared" ref="A159" si="102">A158</f>
        <v>Questionnaire</v>
      </c>
    </row>
    <row r="160" spans="1:5" ht="12" customHeight="1" x14ac:dyDescent="0.25">
      <c r="A160" t="str">
        <f t="shared" ref="A160" si="103">A159</f>
        <v>Questionnaire</v>
      </c>
      <c r="B160" t="str">
        <f>'Company Info, Intended Activity'!G47</f>
        <v>EstNumWithdrPerYearCrypto</v>
      </c>
      <c r="C160" t="str">
        <f>'Company Info, Intended Activity'!B47</f>
        <v>Estimated number of withdrawals per year in crypto - withdrawal frequency</v>
      </c>
      <c r="E160" s="1" t="s">
        <v>558</v>
      </c>
    </row>
    <row r="161" spans="1:5" ht="12" customHeight="1" x14ac:dyDescent="0.25">
      <c r="A161" t="str">
        <f t="shared" ref="A161" si="104">A160</f>
        <v>Questionnaire</v>
      </c>
      <c r="B161" t="str">
        <f t="shared" ref="B161:B164" si="105">B160</f>
        <v>EstNumWithdrPerYearCrypto</v>
      </c>
      <c r="C161" t="str">
        <f t="shared" ref="C161:C164" si="106">C160</f>
        <v>Estimated number of withdrawals per year in crypto - withdrawal frequency</v>
      </c>
      <c r="E161" s="1" t="s">
        <v>559</v>
      </c>
    </row>
    <row r="162" spans="1:5" ht="12" customHeight="1" x14ac:dyDescent="0.25">
      <c r="A162" t="str">
        <f t="shared" ref="A162" si="107">A161</f>
        <v>Questionnaire</v>
      </c>
      <c r="B162" t="str">
        <f t="shared" si="105"/>
        <v>EstNumWithdrPerYearCrypto</v>
      </c>
      <c r="C162" t="str">
        <f t="shared" si="106"/>
        <v>Estimated number of withdrawals per year in crypto - withdrawal frequency</v>
      </c>
      <c r="E162" s="1" t="s">
        <v>560</v>
      </c>
    </row>
    <row r="163" spans="1:5" ht="12" customHeight="1" x14ac:dyDescent="0.25">
      <c r="A163" t="str">
        <f t="shared" ref="A163" si="108">A162</f>
        <v>Questionnaire</v>
      </c>
      <c r="B163" t="str">
        <f t="shared" si="105"/>
        <v>EstNumWithdrPerYearCrypto</v>
      </c>
      <c r="C163" t="str">
        <f t="shared" si="106"/>
        <v>Estimated number of withdrawals per year in crypto - withdrawal frequency</v>
      </c>
      <c r="E163" s="1" t="s">
        <v>561</v>
      </c>
    </row>
    <row r="164" spans="1:5" ht="12" customHeight="1" x14ac:dyDescent="0.25">
      <c r="A164" t="str">
        <f t="shared" ref="A164" si="109">A163</f>
        <v>Questionnaire</v>
      </c>
      <c r="B164" t="str">
        <f t="shared" si="105"/>
        <v>EstNumWithdrPerYearCrypto</v>
      </c>
      <c r="C164" t="str">
        <f t="shared" si="106"/>
        <v>Estimated number of withdrawals per year in crypto - withdrawal frequency</v>
      </c>
      <c r="E164" s="1" t="s">
        <v>544</v>
      </c>
    </row>
    <row r="165" spans="1:5" ht="12" customHeight="1" x14ac:dyDescent="0.25">
      <c r="A165" t="str">
        <f t="shared" ref="A165" si="110">A164</f>
        <v>Questionnaire</v>
      </c>
    </row>
    <row r="166" spans="1:5" ht="12" customHeight="1" x14ac:dyDescent="0.25">
      <c r="A166" t="s">
        <v>582</v>
      </c>
      <c r="B166" t="s">
        <v>1167</v>
      </c>
      <c r="E166" s="1" t="s">
        <v>1168</v>
      </c>
    </row>
    <row r="167" spans="1:5" ht="12" customHeight="1" x14ac:dyDescent="0.25">
      <c r="A167" t="s">
        <v>582</v>
      </c>
      <c r="B167" t="s">
        <v>1167</v>
      </c>
      <c r="E167" s="1" t="s">
        <v>1295</v>
      </c>
    </row>
    <row r="168" spans="1:5" ht="12" customHeight="1" x14ac:dyDescent="0.25">
      <c r="A168" t="s">
        <v>582</v>
      </c>
      <c r="B168" t="s">
        <v>1167</v>
      </c>
      <c r="E168" s="1" t="s">
        <v>1296</v>
      </c>
    </row>
    <row r="169" spans="1:5" ht="12" customHeight="1" x14ac:dyDescent="0.25">
      <c r="A169" t="s">
        <v>582</v>
      </c>
      <c r="B169" t="s">
        <v>1167</v>
      </c>
      <c r="E169" s="1" t="s">
        <v>1297</v>
      </c>
    </row>
    <row r="170" spans="1:5" ht="12" customHeight="1" x14ac:dyDescent="0.25">
      <c r="A170" t="s">
        <v>582</v>
      </c>
      <c r="B170" t="s">
        <v>1167</v>
      </c>
      <c r="E170" s="1" t="s">
        <v>1298</v>
      </c>
    </row>
    <row r="171" spans="1:5" ht="12" customHeight="1" x14ac:dyDescent="0.25">
      <c r="A171" t="s">
        <v>582</v>
      </c>
      <c r="B171" t="s">
        <v>1167</v>
      </c>
      <c r="E171" s="1" t="s">
        <v>1299</v>
      </c>
    </row>
    <row r="172" spans="1:5" ht="12" customHeight="1" x14ac:dyDescent="0.25">
      <c r="A172" t="s">
        <v>582</v>
      </c>
      <c r="B172" t="s">
        <v>1167</v>
      </c>
      <c r="E172" s="1" t="s">
        <v>1300</v>
      </c>
    </row>
    <row r="173" spans="1:5" ht="12" customHeight="1" x14ac:dyDescent="0.25">
      <c r="A173" t="s">
        <v>582</v>
      </c>
      <c r="E173" s="1"/>
    </row>
    <row r="174" spans="1:5" ht="12" customHeight="1" x14ac:dyDescent="0.25">
      <c r="A174" t="s">
        <v>582</v>
      </c>
      <c r="B174" t="s">
        <v>585</v>
      </c>
      <c r="E174" s="1" t="s">
        <v>583</v>
      </c>
    </row>
    <row r="175" spans="1:5" ht="12" customHeight="1" x14ac:dyDescent="0.25">
      <c r="A175" t="s">
        <v>582</v>
      </c>
      <c r="B175" t="s">
        <v>585</v>
      </c>
      <c r="E175" s="1" t="s">
        <v>584</v>
      </c>
    </row>
    <row r="176" spans="1:5" ht="12" customHeight="1" x14ac:dyDescent="0.25">
      <c r="A176" t="s">
        <v>582</v>
      </c>
      <c r="B176" t="s">
        <v>585</v>
      </c>
      <c r="E176" s="1" t="s">
        <v>575</v>
      </c>
    </row>
    <row r="177" spans="1:5" ht="12" customHeight="1" x14ac:dyDescent="0.25">
      <c r="A177" t="s">
        <v>1166</v>
      </c>
    </row>
    <row r="178" spans="1:5" ht="12" customHeight="1" x14ac:dyDescent="0.25">
      <c r="A178" t="s">
        <v>1166</v>
      </c>
      <c r="B178" t="s">
        <v>1146</v>
      </c>
      <c r="E178" s="1" t="s">
        <v>1165</v>
      </c>
    </row>
    <row r="179" spans="1:5" ht="12" customHeight="1" x14ac:dyDescent="0.25">
      <c r="A179" t="s">
        <v>1166</v>
      </c>
      <c r="B179" t="s">
        <v>1146</v>
      </c>
      <c r="E179" s="1" t="s">
        <v>1164</v>
      </c>
    </row>
    <row r="180" spans="1:5" ht="12" customHeight="1" x14ac:dyDescent="0.25">
      <c r="A180" t="s">
        <v>1166</v>
      </c>
      <c r="B180" t="s">
        <v>1146</v>
      </c>
      <c r="E180" s="1" t="s">
        <v>1163</v>
      </c>
    </row>
    <row r="181" spans="1:5" ht="12" customHeight="1" x14ac:dyDescent="0.25">
      <c r="A181" t="s">
        <v>10</v>
      </c>
    </row>
    <row r="182" spans="1:5" ht="12" customHeight="1" x14ac:dyDescent="0.25">
      <c r="A182" t="s">
        <v>10</v>
      </c>
      <c r="B182" t="s">
        <v>586</v>
      </c>
      <c r="E182" s="1" t="s">
        <v>589</v>
      </c>
    </row>
    <row r="183" spans="1:5" ht="12" customHeight="1" x14ac:dyDescent="0.25">
      <c r="A183" t="s">
        <v>10</v>
      </c>
      <c r="B183" t="s">
        <v>586</v>
      </c>
      <c r="E183" s="1" t="s">
        <v>588</v>
      </c>
    </row>
    <row r="184" spans="1:5" ht="12" customHeight="1" x14ac:dyDescent="0.25">
      <c r="A184" t="s">
        <v>10</v>
      </c>
    </row>
  </sheetData>
  <sheetProtection algorithmName="SHA-512" hashValue="DK3DZ1Jtcq1tBe1JODebQab+1IzU93l6B4JYRC324eShNCEy/3Ph2d/3oy6KgQr2MusKBSfN6SNNMyf19shv9w==" saltValue="Hc7jGPJTCK7AYZK39wmHrg==" spinCount="100000" sheet="1" formatCells="0" formatColumns="0" formatRows="0" insertColumns="0" insertRows="0" insertHyperlinks="0" deleteColumns="0" deleteRows="0" sort="0" autoFilter="0" pivotTables="0"/>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90E6D-AE9D-4235-B753-D6AC9F9C7C5F}">
  <sheetPr codeName="Sheet5"/>
  <dimension ref="A1:J39"/>
  <sheetViews>
    <sheetView workbookViewId="0">
      <selection activeCell="C6" sqref="C6"/>
    </sheetView>
  </sheetViews>
  <sheetFormatPr defaultRowHeight="15" x14ac:dyDescent="0.25"/>
  <cols>
    <col min="1" max="1" width="15.85546875" customWidth="1"/>
    <col min="2" max="2" width="60.140625" customWidth="1"/>
    <col min="3" max="3" width="10.140625" customWidth="1"/>
    <col min="4" max="4" width="5" customWidth="1"/>
    <col min="5" max="5" width="38.5703125" customWidth="1"/>
    <col min="6" max="6" width="9.85546875" customWidth="1"/>
    <col min="7" max="7" width="19" hidden="1" customWidth="1"/>
    <col min="8" max="8" width="6.140625" hidden="1" customWidth="1"/>
    <col min="9" max="9" width="15.42578125" hidden="1" customWidth="1"/>
    <col min="10" max="10" width="8.85546875" customWidth="1"/>
  </cols>
  <sheetData>
    <row r="1" spans="1:10" s="5" customFormat="1" ht="42.95" customHeight="1" thickBot="1" x14ac:dyDescent="0.3">
      <c r="A1" s="10"/>
      <c r="B1" s="11"/>
      <c r="C1" s="10"/>
      <c r="D1" s="10"/>
      <c r="E1" s="11"/>
      <c r="F1" s="10"/>
    </row>
    <row r="2" spans="1:10" s="5" customFormat="1" ht="44.45" customHeight="1" thickBot="1" x14ac:dyDescent="0.4">
      <c r="A2" s="190" t="s">
        <v>571</v>
      </c>
      <c r="B2" s="191"/>
      <c r="C2" s="192"/>
      <c r="D2" s="44"/>
      <c r="E2" s="11"/>
      <c r="F2" s="10"/>
    </row>
    <row r="3" spans="1:10" s="5" customFormat="1" ht="15.95" customHeight="1" x14ac:dyDescent="0.35">
      <c r="A3" s="44"/>
      <c r="B3" s="44"/>
      <c r="C3" s="44"/>
      <c r="D3" s="44"/>
      <c r="E3" s="11"/>
      <c r="F3" s="10"/>
    </row>
    <row r="4" spans="1:10" s="5" customFormat="1" ht="15.95" customHeight="1" thickBot="1" x14ac:dyDescent="0.3">
      <c r="A4" s="12" t="s">
        <v>8</v>
      </c>
      <c r="B4" s="13" t="s">
        <v>964</v>
      </c>
      <c r="C4" s="14" t="s">
        <v>0</v>
      </c>
      <c r="D4" s="12"/>
      <c r="E4" s="13" t="s">
        <v>573</v>
      </c>
      <c r="F4" s="10"/>
      <c r="G4" s="6" t="s">
        <v>549</v>
      </c>
      <c r="H4" s="6"/>
      <c r="I4" s="6" t="s">
        <v>1</v>
      </c>
    </row>
    <row r="5" spans="1:10" ht="15.95" customHeight="1" x14ac:dyDescent="0.25">
      <c r="A5" s="228" t="s">
        <v>572</v>
      </c>
      <c r="B5" s="50" t="s">
        <v>975</v>
      </c>
      <c r="C5" s="51"/>
      <c r="D5" s="10"/>
      <c r="E5" s="225" t="s">
        <v>979</v>
      </c>
      <c r="F5" s="10"/>
      <c r="G5" s="5"/>
      <c r="H5" s="5"/>
      <c r="I5" s="5"/>
      <c r="J5" s="5"/>
    </row>
    <row r="6" spans="1:10" ht="15.95" customHeight="1" x14ac:dyDescent="0.25">
      <c r="A6" s="229"/>
      <c r="B6" s="52" t="s">
        <v>11</v>
      </c>
      <c r="C6" s="15"/>
      <c r="D6" s="10"/>
      <c r="E6" s="226"/>
      <c r="F6" s="10"/>
      <c r="G6" s="5" t="s">
        <v>635</v>
      </c>
      <c r="H6" s="5"/>
      <c r="I6" s="5" t="s">
        <v>542</v>
      </c>
      <c r="J6" s="5"/>
    </row>
    <row r="7" spans="1:10" ht="15.95" customHeight="1" x14ac:dyDescent="0.25">
      <c r="A7" s="229"/>
      <c r="B7" s="52" t="s">
        <v>12</v>
      </c>
      <c r="C7" s="15"/>
      <c r="D7" s="10"/>
      <c r="E7" s="226"/>
      <c r="F7" s="10"/>
      <c r="G7" s="5" t="s">
        <v>634</v>
      </c>
      <c r="H7" s="5"/>
      <c r="I7" s="5" t="s">
        <v>542</v>
      </c>
      <c r="J7" s="5"/>
    </row>
    <row r="8" spans="1:10" ht="15.95" customHeight="1" x14ac:dyDescent="0.25">
      <c r="A8" s="229"/>
      <c r="B8" s="52" t="s">
        <v>13</v>
      </c>
      <c r="C8" s="15"/>
      <c r="D8" s="10"/>
      <c r="E8" s="226"/>
      <c r="F8" s="10"/>
      <c r="G8" s="5" t="s">
        <v>636</v>
      </c>
      <c r="H8" s="5"/>
      <c r="I8" s="5" t="s">
        <v>542</v>
      </c>
      <c r="J8" s="5"/>
    </row>
    <row r="9" spans="1:10" ht="15.95" customHeight="1" x14ac:dyDescent="0.25">
      <c r="A9" s="229"/>
      <c r="B9" s="52" t="s">
        <v>976</v>
      </c>
      <c r="C9" s="15"/>
      <c r="D9" s="10"/>
      <c r="E9" s="226"/>
      <c r="F9" s="10"/>
      <c r="G9" s="5" t="s">
        <v>637</v>
      </c>
      <c r="H9" s="5"/>
      <c r="I9" s="5" t="s">
        <v>542</v>
      </c>
      <c r="J9" s="5"/>
    </row>
    <row r="10" spans="1:10" ht="15.95" customHeight="1" x14ac:dyDescent="0.25">
      <c r="A10" s="229"/>
      <c r="B10" s="52" t="s">
        <v>538</v>
      </c>
      <c r="C10" s="15"/>
      <c r="D10" s="10"/>
      <c r="E10" s="226"/>
      <c r="F10" s="10"/>
      <c r="G10" s="5" t="s">
        <v>638</v>
      </c>
      <c r="H10" s="5"/>
      <c r="I10" s="5" t="s">
        <v>542</v>
      </c>
      <c r="J10" s="5"/>
    </row>
    <row r="11" spans="1:10" ht="15.95" customHeight="1" x14ac:dyDescent="0.25">
      <c r="A11" s="229"/>
      <c r="B11" s="52" t="s">
        <v>14</v>
      </c>
      <c r="C11" s="15"/>
      <c r="D11" s="10"/>
      <c r="E11" s="226"/>
      <c r="F11" s="10"/>
      <c r="G11" s="5" t="s">
        <v>639</v>
      </c>
      <c r="H11" s="5"/>
      <c r="I11" s="5" t="s">
        <v>542</v>
      </c>
      <c r="J11" s="5"/>
    </row>
    <row r="12" spans="1:10" ht="15.95" customHeight="1" x14ac:dyDescent="0.25">
      <c r="A12" s="229"/>
      <c r="B12" s="52" t="s">
        <v>977</v>
      </c>
      <c r="C12" s="15"/>
      <c r="D12" s="10"/>
      <c r="E12" s="226"/>
      <c r="F12" s="10"/>
      <c r="G12" s="5" t="s">
        <v>640</v>
      </c>
      <c r="H12" s="5"/>
      <c r="I12" s="5" t="s">
        <v>542</v>
      </c>
      <c r="J12" s="5"/>
    </row>
    <row r="13" spans="1:10" ht="15.95" customHeight="1" x14ac:dyDescent="0.25">
      <c r="A13" s="229"/>
      <c r="B13" s="52" t="s">
        <v>15</v>
      </c>
      <c r="C13" s="15"/>
      <c r="D13" s="10"/>
      <c r="E13" s="226"/>
      <c r="F13" s="10"/>
      <c r="G13" s="5" t="s">
        <v>641</v>
      </c>
      <c r="H13" s="5"/>
      <c r="I13" s="5" t="s">
        <v>542</v>
      </c>
      <c r="J13" s="5"/>
    </row>
    <row r="14" spans="1:10" ht="15.95" customHeight="1" thickBot="1" x14ac:dyDescent="0.3">
      <c r="A14" s="230"/>
      <c r="B14" s="53" t="s">
        <v>978</v>
      </c>
      <c r="C14" s="16"/>
      <c r="D14" s="10"/>
      <c r="E14" s="227"/>
      <c r="F14" s="10"/>
      <c r="G14" s="5" t="s">
        <v>642</v>
      </c>
      <c r="H14" s="5"/>
      <c r="I14" s="5" t="s">
        <v>542</v>
      </c>
      <c r="J14" s="5"/>
    </row>
    <row r="15" spans="1:10" ht="15.95" customHeight="1" thickBot="1" x14ac:dyDescent="0.3">
      <c r="A15" s="10"/>
      <c r="B15" s="11"/>
      <c r="C15" s="10"/>
      <c r="D15" s="10"/>
      <c r="E15" s="45"/>
      <c r="F15" s="10"/>
      <c r="G15" s="5"/>
      <c r="H15" s="5"/>
      <c r="I15" s="5"/>
      <c r="J15" s="5"/>
    </row>
    <row r="16" spans="1:10" ht="15.95" customHeight="1" x14ac:dyDescent="0.25">
      <c r="A16" s="228" t="s">
        <v>981</v>
      </c>
      <c r="B16" s="231" t="s">
        <v>1282</v>
      </c>
      <c r="C16" s="232"/>
      <c r="D16" s="10"/>
      <c r="E16" s="225" t="s">
        <v>980</v>
      </c>
      <c r="F16" s="10"/>
      <c r="G16" s="5"/>
      <c r="H16" s="5"/>
      <c r="I16" s="5"/>
      <c r="J16" s="5"/>
    </row>
    <row r="17" spans="1:10" ht="15.95" customHeight="1" x14ac:dyDescent="0.25">
      <c r="A17" s="229"/>
      <c r="B17" s="54" t="s">
        <v>16</v>
      </c>
      <c r="C17" s="15"/>
      <c r="D17" s="10"/>
      <c r="E17" s="226"/>
      <c r="F17" s="10"/>
      <c r="G17" s="5" t="s">
        <v>645</v>
      </c>
      <c r="H17" s="5"/>
      <c r="I17" s="5" t="s">
        <v>542</v>
      </c>
      <c r="J17" s="5"/>
    </row>
    <row r="18" spans="1:10" ht="15.95" customHeight="1" x14ac:dyDescent="0.25">
      <c r="A18" s="229"/>
      <c r="B18" s="55" t="s">
        <v>17</v>
      </c>
      <c r="C18" s="15"/>
      <c r="D18" s="10"/>
      <c r="E18" s="226"/>
      <c r="F18" s="10"/>
      <c r="G18" s="5" t="s">
        <v>644</v>
      </c>
      <c r="H18" s="5"/>
      <c r="I18" s="5" t="s">
        <v>542</v>
      </c>
      <c r="J18" s="5"/>
    </row>
    <row r="19" spans="1:10" ht="15.95" customHeight="1" x14ac:dyDescent="0.25">
      <c r="A19" s="229"/>
      <c r="B19" s="52" t="s">
        <v>18</v>
      </c>
      <c r="C19" s="15"/>
      <c r="D19" s="10"/>
      <c r="E19" s="226"/>
      <c r="F19" s="10"/>
      <c r="G19" s="5" t="s">
        <v>643</v>
      </c>
      <c r="H19" s="5"/>
      <c r="I19" s="5" t="s">
        <v>542</v>
      </c>
      <c r="J19" s="5"/>
    </row>
    <row r="20" spans="1:10" ht="15.95" customHeight="1" x14ac:dyDescent="0.25">
      <c r="A20" s="229"/>
      <c r="B20" s="52" t="s">
        <v>20</v>
      </c>
      <c r="C20" s="15"/>
      <c r="D20" s="10"/>
      <c r="E20" s="226"/>
      <c r="F20" s="10"/>
      <c r="G20" s="5" t="s">
        <v>646</v>
      </c>
      <c r="H20" s="5"/>
      <c r="I20" s="5" t="s">
        <v>542</v>
      </c>
      <c r="J20" s="5"/>
    </row>
    <row r="21" spans="1:10" ht="15.95" customHeight="1" x14ac:dyDescent="0.25">
      <c r="A21" s="229"/>
      <c r="B21" s="52" t="s">
        <v>21</v>
      </c>
      <c r="C21" s="15"/>
      <c r="D21" s="10"/>
      <c r="E21" s="226"/>
      <c r="F21" s="10"/>
      <c r="G21" s="5" t="s">
        <v>647</v>
      </c>
      <c r="H21" s="5"/>
      <c r="I21" s="5" t="s">
        <v>542</v>
      </c>
      <c r="J21" s="5"/>
    </row>
    <row r="22" spans="1:10" ht="15.95" customHeight="1" x14ac:dyDescent="0.25">
      <c r="A22" s="229"/>
      <c r="B22" s="52" t="s">
        <v>22</v>
      </c>
      <c r="C22" s="15"/>
      <c r="D22" s="10"/>
      <c r="E22" s="226"/>
      <c r="F22" s="10"/>
      <c r="G22" s="5" t="s">
        <v>648</v>
      </c>
      <c r="H22" s="5"/>
      <c r="I22" s="5" t="s">
        <v>542</v>
      </c>
      <c r="J22" s="5"/>
    </row>
    <row r="23" spans="1:10" ht="15.95" customHeight="1" x14ac:dyDescent="0.25">
      <c r="A23" s="229"/>
      <c r="B23" s="52" t="s">
        <v>23</v>
      </c>
      <c r="C23" s="15"/>
      <c r="D23" s="10"/>
      <c r="E23" s="226"/>
      <c r="F23" s="10"/>
      <c r="G23" s="5" t="s">
        <v>649</v>
      </c>
      <c r="H23" s="5"/>
      <c r="I23" s="5" t="s">
        <v>542</v>
      </c>
      <c r="J23" s="5"/>
    </row>
    <row r="24" spans="1:10" ht="15.95" customHeight="1" x14ac:dyDescent="0.25">
      <c r="A24" s="229"/>
      <c r="B24" s="52" t="s">
        <v>24</v>
      </c>
      <c r="C24" s="15"/>
      <c r="D24" s="10"/>
      <c r="E24" s="226"/>
      <c r="F24" s="10"/>
      <c r="G24" t="s">
        <v>650</v>
      </c>
      <c r="H24" s="5"/>
      <c r="I24" s="5" t="s">
        <v>542</v>
      </c>
      <c r="J24" s="5"/>
    </row>
    <row r="25" spans="1:10" ht="15.95" customHeight="1" x14ac:dyDescent="0.25">
      <c r="A25" s="229"/>
      <c r="B25" s="52" t="s">
        <v>25</v>
      </c>
      <c r="C25" s="15"/>
      <c r="D25" s="10"/>
      <c r="E25" s="226"/>
      <c r="F25" s="10"/>
      <c r="G25" s="5" t="s">
        <v>651</v>
      </c>
      <c r="H25" s="5"/>
      <c r="I25" s="5" t="s">
        <v>542</v>
      </c>
      <c r="J25" s="5"/>
    </row>
    <row r="26" spans="1:10" ht="15.95" customHeight="1" thickBot="1" x14ac:dyDescent="0.3">
      <c r="A26" s="230"/>
      <c r="B26" s="53" t="s">
        <v>1281</v>
      </c>
      <c r="C26" s="16"/>
      <c r="D26" s="10"/>
      <c r="E26" s="227"/>
      <c r="F26" s="10"/>
      <c r="G26" s="5" t="s">
        <v>1284</v>
      </c>
      <c r="H26" s="5"/>
      <c r="I26" s="5" t="s">
        <v>542</v>
      </c>
      <c r="J26" s="5"/>
    </row>
    <row r="27" spans="1:10" ht="15.95" customHeight="1" thickBot="1" x14ac:dyDescent="0.3">
      <c r="A27" s="10"/>
      <c r="B27" s="11"/>
      <c r="C27" s="10"/>
      <c r="D27" s="10"/>
      <c r="E27" s="45"/>
      <c r="F27" s="10"/>
      <c r="G27" s="5"/>
      <c r="H27" s="5"/>
      <c r="I27" s="5"/>
      <c r="J27" s="5"/>
    </row>
    <row r="28" spans="1:10" ht="51.95" customHeight="1" x14ac:dyDescent="0.25">
      <c r="A28" s="228" t="s">
        <v>982</v>
      </c>
      <c r="B28" s="56" t="s">
        <v>1119</v>
      </c>
      <c r="C28" s="109"/>
      <c r="D28" s="10"/>
      <c r="E28" s="225" t="s">
        <v>983</v>
      </c>
      <c r="F28" s="10"/>
      <c r="G28" s="5" t="s">
        <v>652</v>
      </c>
      <c r="H28" s="5"/>
      <c r="I28" s="5" t="s">
        <v>542</v>
      </c>
      <c r="J28" s="5"/>
    </row>
    <row r="29" spans="1:10" ht="15.95" customHeight="1" x14ac:dyDescent="0.25">
      <c r="A29" s="229"/>
      <c r="B29" s="57" t="s">
        <v>984</v>
      </c>
      <c r="C29" s="58"/>
      <c r="D29" s="10"/>
      <c r="E29" s="226"/>
      <c r="F29" s="10"/>
      <c r="H29" s="5"/>
      <c r="I29" s="5"/>
      <c r="J29" s="5"/>
    </row>
    <row r="30" spans="1:10" ht="41.1" customHeight="1" thickBot="1" x14ac:dyDescent="0.3">
      <c r="A30" s="230"/>
      <c r="B30" s="73"/>
      <c r="C30" s="59"/>
      <c r="D30" s="10"/>
      <c r="E30" s="227"/>
      <c r="F30" s="10"/>
      <c r="G30" s="42" t="s">
        <v>653</v>
      </c>
      <c r="H30" s="17"/>
      <c r="I30" s="43" t="s">
        <v>5</v>
      </c>
      <c r="J30" s="17"/>
    </row>
    <row r="31" spans="1:10" ht="15.95" customHeight="1" x14ac:dyDescent="0.25">
      <c r="A31" s="10"/>
      <c r="B31" s="11"/>
      <c r="C31" s="10"/>
      <c r="D31" s="10"/>
      <c r="E31" s="45"/>
      <c r="F31" s="10"/>
      <c r="G31" s="5"/>
      <c r="H31" s="5"/>
      <c r="I31" s="5"/>
      <c r="J31" s="5"/>
    </row>
    <row r="32" spans="1:10" ht="15.95" customHeight="1" x14ac:dyDescent="0.25">
      <c r="G32" s="5"/>
      <c r="H32" s="5"/>
      <c r="I32" s="5"/>
      <c r="J32" s="5"/>
    </row>
    <row r="33" ht="15.95" customHeight="1" x14ac:dyDescent="0.25"/>
    <row r="34" ht="15.95" customHeight="1" x14ac:dyDescent="0.25"/>
    <row r="35" ht="15.95" customHeight="1" x14ac:dyDescent="0.25"/>
    <row r="36" ht="15.95" customHeight="1" x14ac:dyDescent="0.25"/>
    <row r="37" ht="15.95" customHeight="1" x14ac:dyDescent="0.25"/>
    <row r="38" ht="15.95" customHeight="1" x14ac:dyDescent="0.25"/>
    <row r="39" ht="15.95" customHeight="1" x14ac:dyDescent="0.25"/>
  </sheetData>
  <sheetProtection algorithmName="SHA-512" hashValue="vcc+0d+GlxDWyuVXbH4Fdmtn2/9wP3riYBq6BNi68D5zqlTsk22nSN+Od2TO33rCbx4ynGY6MQ58OrjBb9l8LQ==" saltValue="Eq9GI0OuDTj4psbosJlYmw==" spinCount="100000" sheet="1" objects="1" scenarios="1"/>
  <mergeCells count="8">
    <mergeCell ref="E28:E30"/>
    <mergeCell ref="A28:A30"/>
    <mergeCell ref="A2:C2"/>
    <mergeCell ref="A5:A14"/>
    <mergeCell ref="A16:A26"/>
    <mergeCell ref="E5:E14"/>
    <mergeCell ref="E16:E26"/>
    <mergeCell ref="B16:C16"/>
  </mergeCells>
  <conditionalFormatting sqref="C6:C8">
    <cfRule type="containsBlanks" dxfId="8" priority="10">
      <formula>LEN(TRIM(C6))=0</formula>
    </cfRule>
  </conditionalFormatting>
  <conditionalFormatting sqref="C9:C14">
    <cfRule type="containsBlanks" dxfId="7" priority="11">
      <formula>LEN(TRIM(C9))=0</formula>
    </cfRule>
  </conditionalFormatting>
  <conditionalFormatting sqref="C28">
    <cfRule type="containsBlanks" dxfId="6" priority="13">
      <formula>LEN(TRIM(C28))=0</formula>
    </cfRule>
  </conditionalFormatting>
  <conditionalFormatting sqref="B30">
    <cfRule type="expression" dxfId="5" priority="2" stopIfTrue="1">
      <formula>AND(C28="Yes",B30="")</formula>
    </cfRule>
    <cfRule type="containsBlanks" dxfId="4" priority="15">
      <formula>LEN(TRIM(B30))=0</formula>
    </cfRule>
  </conditionalFormatting>
  <conditionalFormatting sqref="C17:C26">
    <cfRule type="containsBlanks" dxfId="3" priority="1">
      <formula>LEN(TRIM(C17))=0</formula>
    </cfRule>
  </conditionalFormatting>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C256BB30-2F10-40FF-BBEA-CAA688D32847}">
          <x14:formula1>
            <xm:f>FieldValidation!$E$5:$E$6</xm:f>
          </x14:formula1>
          <xm:sqref>C6:C14 C17:C26 C28</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CF3D2-F3EB-45D8-9E99-F0106D1120B7}">
  <sheetPr codeName="Sheet3"/>
  <dimension ref="A2:I65"/>
  <sheetViews>
    <sheetView topLeftCell="A42" zoomScale="55" zoomScaleNormal="55" workbookViewId="0">
      <selection activeCell="F38" sqref="F38"/>
    </sheetView>
  </sheetViews>
  <sheetFormatPr defaultRowHeight="15" x14ac:dyDescent="0.25"/>
  <cols>
    <col min="1" max="1" width="18" style="127" customWidth="1"/>
    <col min="2" max="2" width="22" customWidth="1"/>
    <col min="3" max="3" width="55.140625" customWidth="1"/>
    <col min="4" max="7" width="50.85546875" customWidth="1"/>
    <col min="8" max="8" width="72.42578125" customWidth="1"/>
    <col min="9" max="9" width="62.85546875" customWidth="1"/>
  </cols>
  <sheetData>
    <row r="2" spans="1:9" ht="19.5" customHeight="1" x14ac:dyDescent="0.25">
      <c r="A2" s="165" t="s">
        <v>1180</v>
      </c>
      <c r="B2" s="164"/>
      <c r="C2" s="164"/>
    </row>
    <row r="3" spans="1:9" ht="75" x14ac:dyDescent="0.25">
      <c r="B3" s="70"/>
      <c r="C3" s="70" t="str">
        <f>'Company Info, Intended Activity'!B25</f>
        <v>ACCOUNT TYPE  (Please check the row 54 for required documentation based on the selected legal type, entity and account type)</v>
      </c>
      <c r="D3" s="70" t="str">
        <f>IF(ISBLANK('Company Info, Intended Activity'!C25),"",VLOOKUP('Company Info, Intended Activity'!C25,FieldValidation!E19:I32,5,FALSE))</f>
        <v/>
      </c>
      <c r="F3" s="160" t="s">
        <v>1258</v>
      </c>
      <c r="H3" s="160" t="s">
        <v>1330</v>
      </c>
    </row>
    <row r="4" spans="1:9" x14ac:dyDescent="0.25">
      <c r="A4"/>
      <c r="B4" s="70"/>
      <c r="C4" s="70" t="str">
        <f>'Company Info, Intended Activity'!B26</f>
        <v>BUSINESS MODEL (Drop down depends on the selected Account type)</v>
      </c>
      <c r="D4" s="70" t="str">
        <f>IF(ISBLANK('Company Info, Intended Activity'!C26),"",VLOOKUP('Company Info, Intended Activity'!C26,FieldValidation!E34:J85,5,FALSE))</f>
        <v/>
      </c>
    </row>
    <row r="5" spans="1:9" ht="30" x14ac:dyDescent="0.25">
      <c r="A5"/>
      <c r="B5" s="70"/>
      <c r="C5" s="70" t="s">
        <v>1265</v>
      </c>
      <c r="D5" s="70" t="str">
        <f>IF(ISBLANK('Company Info, Intended Activity'!C26),"",VLOOKUP('Company Info, Intended Activity'!C26,FieldValidation!E34:J85,6,FALSE))</f>
        <v/>
      </c>
      <c r="F5" s="1" t="str">
        <f>IF(OR(ISBLANK('Company Info, Intended Activity'!C26),ISBLANK('Company Info, Intended Activity'!C25))," ",IF(D5&lt;&gt;D3,H5," "))</f>
        <v xml:space="preserve"> </v>
      </c>
      <c r="H5" s="160" t="s">
        <v>1291</v>
      </c>
    </row>
    <row r="6" spans="1:9" x14ac:dyDescent="0.25">
      <c r="B6" s="70"/>
      <c r="C6" s="70" t="s">
        <v>1244</v>
      </c>
      <c r="D6" s="70" t="str">
        <f>D4</f>
        <v/>
      </c>
    </row>
    <row r="7" spans="1:9" x14ac:dyDescent="0.25">
      <c r="B7" s="70" t="str">
        <f>FieldValidation!E15</f>
        <v>Trust</v>
      </c>
      <c r="C7" s="70" t="s">
        <v>1182</v>
      </c>
      <c r="D7" s="161">
        <f>'Company Info, Intended Activity'!C22</f>
        <v>0</v>
      </c>
      <c r="F7" t="str">
        <f>IF(UPPER(D7)=UPPER(B7),IF(D3&lt;&gt;UPPER(D7),"For legal entity Trust pls. choose account type Trust!",""),"")</f>
        <v/>
      </c>
    </row>
    <row r="8" spans="1:9" ht="30" x14ac:dyDescent="0.25">
      <c r="B8" s="161"/>
      <c r="C8" s="25" t="s">
        <v>1179</v>
      </c>
      <c r="D8" s="71" t="str">
        <f>IF(D7=B7,B7,D6)</f>
        <v/>
      </c>
      <c r="H8" s="160" t="s">
        <v>1292</v>
      </c>
    </row>
    <row r="11" spans="1:9" ht="24.6" customHeight="1" thickBot="1" x14ac:dyDescent="0.3">
      <c r="A11" s="163" t="s">
        <v>1183</v>
      </c>
      <c r="B11" s="162"/>
      <c r="C11" s="162"/>
    </row>
    <row r="12" spans="1:9" ht="60" x14ac:dyDescent="0.25">
      <c r="A12" s="159" t="s">
        <v>1183</v>
      </c>
      <c r="B12" s="141" t="s">
        <v>1293</v>
      </c>
      <c r="C12" s="143" t="s">
        <v>1126</v>
      </c>
      <c r="D12" s="143" t="s">
        <v>1127</v>
      </c>
      <c r="E12" s="143" t="s">
        <v>1142</v>
      </c>
      <c r="F12" s="143" t="s">
        <v>1141</v>
      </c>
      <c r="G12" s="143" t="s">
        <v>1139</v>
      </c>
      <c r="H12" s="144" t="s">
        <v>1140</v>
      </c>
      <c r="I12" s="137" t="s">
        <v>1158</v>
      </c>
    </row>
    <row r="13" spans="1:9" ht="90" x14ac:dyDescent="0.25">
      <c r="A13" s="166" t="s">
        <v>1172</v>
      </c>
      <c r="B13" s="142" t="s">
        <v>1172</v>
      </c>
      <c r="C13" s="133" t="s">
        <v>1246</v>
      </c>
      <c r="D13" s="171" t="s">
        <v>1303</v>
      </c>
      <c r="E13" s="133"/>
      <c r="F13" s="168" t="s">
        <v>1268</v>
      </c>
      <c r="G13" s="133"/>
      <c r="H13" s="168" t="s">
        <v>1333</v>
      </c>
      <c r="I13" s="138"/>
    </row>
    <row r="14" spans="1:9" ht="150" x14ac:dyDescent="0.25">
      <c r="A14" s="166" t="s">
        <v>1174</v>
      </c>
      <c r="B14" s="142" t="s">
        <v>1174</v>
      </c>
      <c r="C14" s="133" t="s">
        <v>1247</v>
      </c>
      <c r="D14" s="171" t="s">
        <v>1304</v>
      </c>
      <c r="E14" s="133"/>
      <c r="F14" s="168" t="s">
        <v>1268</v>
      </c>
      <c r="G14" s="133"/>
      <c r="H14" s="168" t="s">
        <v>1333</v>
      </c>
      <c r="I14" s="138"/>
    </row>
    <row r="15" spans="1:9" ht="120" x14ac:dyDescent="0.25">
      <c r="A15" s="166" t="s">
        <v>1173</v>
      </c>
      <c r="B15" s="142" t="s">
        <v>1173</v>
      </c>
      <c r="C15" s="133" t="s">
        <v>1248</v>
      </c>
      <c r="D15" s="171" t="s">
        <v>1305</v>
      </c>
      <c r="E15" s="133"/>
      <c r="F15" s="168" t="s">
        <v>1268</v>
      </c>
      <c r="G15" s="133"/>
      <c r="H15" s="168" t="s">
        <v>1333</v>
      </c>
      <c r="I15" s="138"/>
    </row>
    <row r="16" spans="1:9" ht="150" x14ac:dyDescent="0.25">
      <c r="A16" s="166" t="s">
        <v>536</v>
      </c>
      <c r="B16" s="142" t="s">
        <v>536</v>
      </c>
      <c r="C16" s="133" t="s">
        <v>1249</v>
      </c>
      <c r="D16" s="171" t="s">
        <v>1306</v>
      </c>
      <c r="E16" s="133"/>
      <c r="F16" s="170" t="s">
        <v>1329</v>
      </c>
      <c r="G16" s="133"/>
      <c r="H16" s="168" t="s">
        <v>1334</v>
      </c>
      <c r="I16" s="138"/>
    </row>
    <row r="17" spans="1:9" ht="75" x14ac:dyDescent="0.25">
      <c r="A17" s="166" t="s">
        <v>1122</v>
      </c>
      <c r="B17" s="142" t="s">
        <v>1262</v>
      </c>
      <c r="C17" s="133"/>
      <c r="D17" s="171"/>
      <c r="E17" s="133"/>
      <c r="F17" s="168"/>
      <c r="G17" s="133"/>
      <c r="H17" s="168" t="s">
        <v>1334</v>
      </c>
      <c r="I17" s="138"/>
    </row>
    <row r="18" spans="1:9" ht="90" x14ac:dyDescent="0.25">
      <c r="A18" s="166" t="s">
        <v>513</v>
      </c>
      <c r="B18" s="142" t="s">
        <v>513</v>
      </c>
      <c r="C18" s="133" t="s">
        <v>1250</v>
      </c>
      <c r="D18" s="171" t="s">
        <v>1307</v>
      </c>
      <c r="E18" s="133"/>
      <c r="F18" s="168" t="s">
        <v>1268</v>
      </c>
      <c r="G18" s="133"/>
      <c r="H18" s="168" t="s">
        <v>1333</v>
      </c>
      <c r="I18" s="138"/>
    </row>
    <row r="19" spans="1:9" x14ac:dyDescent="0.25">
      <c r="D19" s="175"/>
      <c r="F19" s="175"/>
      <c r="H19" s="175"/>
    </row>
    <row r="21" spans="1:9" ht="21.75" thickBot="1" x14ac:dyDescent="0.3">
      <c r="A21" s="165" t="s">
        <v>1181</v>
      </c>
    </row>
    <row r="22" spans="1:9" ht="45" x14ac:dyDescent="0.25">
      <c r="A22" s="159" t="s">
        <v>1181</v>
      </c>
      <c r="B22" s="141" t="s">
        <v>1294</v>
      </c>
      <c r="C22" s="143" t="s">
        <v>1126</v>
      </c>
      <c r="D22" s="143" t="s">
        <v>1127</v>
      </c>
      <c r="E22" s="143" t="s">
        <v>1142</v>
      </c>
      <c r="F22" s="143" t="s">
        <v>1141</v>
      </c>
      <c r="G22" s="143" t="s">
        <v>1139</v>
      </c>
      <c r="H22" s="144" t="s">
        <v>1140</v>
      </c>
      <c r="I22" s="137" t="s">
        <v>1158</v>
      </c>
    </row>
    <row r="23" spans="1:9" ht="150" x14ac:dyDescent="0.25">
      <c r="A23" s="166" t="s">
        <v>1236</v>
      </c>
      <c r="B23" s="142" t="s">
        <v>1175</v>
      </c>
      <c r="C23" s="133" t="s">
        <v>1147</v>
      </c>
      <c r="D23" s="170" t="s">
        <v>1331</v>
      </c>
      <c r="E23" s="133" t="s">
        <v>1149</v>
      </c>
      <c r="F23" s="133"/>
      <c r="G23" s="133" t="s">
        <v>1263</v>
      </c>
      <c r="H23" s="136"/>
      <c r="I23" s="138" t="s">
        <v>1161</v>
      </c>
    </row>
    <row r="24" spans="1:9" ht="409.5" x14ac:dyDescent="0.25">
      <c r="A24" s="166" t="s">
        <v>1254</v>
      </c>
      <c r="B24" s="142" t="s">
        <v>1176</v>
      </c>
      <c r="C24" s="133" t="s">
        <v>1159</v>
      </c>
      <c r="D24" s="170" t="s">
        <v>1331</v>
      </c>
      <c r="E24" s="133" t="s">
        <v>1149</v>
      </c>
      <c r="F24" s="133"/>
      <c r="G24" s="133" t="s">
        <v>1263</v>
      </c>
      <c r="H24" s="136"/>
      <c r="I24" s="139" t="s">
        <v>1160</v>
      </c>
    </row>
    <row r="25" spans="1:9" ht="221.1" customHeight="1" x14ac:dyDescent="0.25">
      <c r="A25" s="166" t="s">
        <v>1252</v>
      </c>
      <c r="B25" s="142" t="s">
        <v>1176</v>
      </c>
      <c r="C25" s="133" t="s">
        <v>1159</v>
      </c>
      <c r="D25" s="170" t="s">
        <v>1259</v>
      </c>
      <c r="E25" s="133" t="s">
        <v>1143</v>
      </c>
      <c r="F25" s="133"/>
      <c r="G25" s="133" t="s">
        <v>1263</v>
      </c>
      <c r="H25" s="136"/>
      <c r="I25" s="139"/>
    </row>
    <row r="26" spans="1:9" ht="221.1" customHeight="1" x14ac:dyDescent="0.25">
      <c r="A26" s="166" t="s">
        <v>1253</v>
      </c>
      <c r="B26" s="142" t="s">
        <v>1176</v>
      </c>
      <c r="C26" s="133" t="s">
        <v>1290</v>
      </c>
      <c r="D26" s="170" t="s">
        <v>1260</v>
      </c>
      <c r="E26" s="133" t="s">
        <v>1143</v>
      </c>
      <c r="F26" s="133"/>
      <c r="G26" s="133" t="s">
        <v>1263</v>
      </c>
      <c r="H26" s="136"/>
      <c r="I26" s="139"/>
    </row>
    <row r="27" spans="1:9" ht="221.1" customHeight="1" x14ac:dyDescent="0.25">
      <c r="A27" s="166" t="s">
        <v>1231</v>
      </c>
      <c r="B27" s="142" t="s">
        <v>1310</v>
      </c>
      <c r="C27" s="133" t="s">
        <v>1128</v>
      </c>
      <c r="D27" s="170" t="s">
        <v>1321</v>
      </c>
      <c r="E27" s="133" t="s">
        <v>1143</v>
      </c>
      <c r="F27" s="170"/>
      <c r="G27" s="133" t="s">
        <v>1263</v>
      </c>
      <c r="H27" s="136"/>
      <c r="I27" s="140"/>
    </row>
    <row r="28" spans="1:9" ht="246.6" customHeight="1" x14ac:dyDescent="0.25">
      <c r="A28" s="169" t="s">
        <v>1332</v>
      </c>
      <c r="B28" s="142" t="s">
        <v>1310</v>
      </c>
      <c r="C28" s="133" t="s">
        <v>1128</v>
      </c>
      <c r="D28" s="170" t="s">
        <v>1331</v>
      </c>
      <c r="E28" s="133" t="s">
        <v>1143</v>
      </c>
      <c r="F28" s="170"/>
      <c r="G28" s="133" t="s">
        <v>1263</v>
      </c>
      <c r="H28" s="168"/>
      <c r="I28" s="140"/>
    </row>
    <row r="29" spans="1:9" ht="246.6" customHeight="1" x14ac:dyDescent="0.25">
      <c r="A29" s="166" t="s">
        <v>1232</v>
      </c>
      <c r="B29" s="142" t="s">
        <v>1309</v>
      </c>
      <c r="C29" s="133" t="s">
        <v>1129</v>
      </c>
      <c r="D29" s="170" t="s">
        <v>1331</v>
      </c>
      <c r="E29" s="133" t="s">
        <v>1143</v>
      </c>
      <c r="F29" s="133"/>
      <c r="G29" s="133" t="s">
        <v>1263</v>
      </c>
      <c r="H29" s="136"/>
      <c r="I29" s="140"/>
    </row>
    <row r="30" spans="1:9" ht="90" x14ac:dyDescent="0.25">
      <c r="A30" s="166" t="s">
        <v>1233</v>
      </c>
      <c r="B30" s="142" t="s">
        <v>1120</v>
      </c>
      <c r="C30" s="133" t="s">
        <v>1130</v>
      </c>
      <c r="D30" s="170" t="s">
        <v>1331</v>
      </c>
      <c r="E30" s="133" t="s">
        <v>1143</v>
      </c>
      <c r="F30" s="133"/>
      <c r="G30" s="133" t="s">
        <v>1263</v>
      </c>
      <c r="H30" s="136"/>
      <c r="I30" s="138" t="s">
        <v>1169</v>
      </c>
    </row>
    <row r="31" spans="1:9" ht="75" x14ac:dyDescent="0.25">
      <c r="A31" s="166" t="s">
        <v>1234</v>
      </c>
      <c r="B31" s="142" t="s">
        <v>1121</v>
      </c>
      <c r="C31" s="133" t="s">
        <v>1131</v>
      </c>
      <c r="D31" s="170" t="s">
        <v>1331</v>
      </c>
      <c r="E31" s="133" t="s">
        <v>1143</v>
      </c>
      <c r="F31" s="133"/>
      <c r="G31" s="133" t="s">
        <v>1263</v>
      </c>
      <c r="H31" s="136"/>
      <c r="I31" s="140"/>
    </row>
    <row r="32" spans="1:9" ht="90" x14ac:dyDescent="0.25">
      <c r="A32" s="156" t="s">
        <v>208</v>
      </c>
      <c r="B32" s="142" t="s">
        <v>1122</v>
      </c>
      <c r="C32" s="133" t="s">
        <v>1132</v>
      </c>
      <c r="D32" s="170" t="s">
        <v>1264</v>
      </c>
      <c r="E32" s="133" t="s">
        <v>1149</v>
      </c>
      <c r="F32" s="133"/>
      <c r="G32" s="133" t="s">
        <v>1263</v>
      </c>
      <c r="H32" s="170"/>
      <c r="I32" s="140"/>
    </row>
    <row r="33" spans="1:9" ht="60" x14ac:dyDescent="0.25">
      <c r="A33" s="167" t="s">
        <v>536</v>
      </c>
      <c r="B33" s="142" t="s">
        <v>536</v>
      </c>
      <c r="C33" s="133" t="s">
        <v>1133</v>
      </c>
      <c r="D33" s="170" t="s">
        <v>1331</v>
      </c>
      <c r="E33" s="133" t="s">
        <v>1144</v>
      </c>
      <c r="F33" s="133"/>
      <c r="G33" s="133" t="s">
        <v>1263</v>
      </c>
      <c r="H33" s="136"/>
      <c r="I33" s="140"/>
    </row>
    <row r="34" spans="1:9" ht="62.25" customHeight="1" x14ac:dyDescent="0.25">
      <c r="A34" s="166" t="s">
        <v>1243</v>
      </c>
      <c r="B34" s="142" t="s">
        <v>1123</v>
      </c>
      <c r="C34" s="133" t="s">
        <v>1134</v>
      </c>
      <c r="D34" s="170" t="s">
        <v>1261</v>
      </c>
      <c r="E34" s="133" t="s">
        <v>1145</v>
      </c>
      <c r="F34" s="133"/>
      <c r="G34" s="133" t="s">
        <v>1263</v>
      </c>
      <c r="H34" s="136"/>
      <c r="I34" s="140"/>
    </row>
    <row r="35" spans="1:9" ht="405" x14ac:dyDescent="0.25">
      <c r="A35" s="166" t="s">
        <v>1235</v>
      </c>
      <c r="B35" s="142" t="s">
        <v>1124</v>
      </c>
      <c r="C35" s="133" t="s">
        <v>1289</v>
      </c>
      <c r="D35" s="170" t="s">
        <v>1322</v>
      </c>
      <c r="E35" s="133" t="s">
        <v>1149</v>
      </c>
      <c r="F35" s="133"/>
      <c r="G35" s="133" t="s">
        <v>1263</v>
      </c>
      <c r="H35" s="136"/>
      <c r="I35" s="138" t="s">
        <v>1170</v>
      </c>
    </row>
    <row r="36" spans="1:9" ht="405" x14ac:dyDescent="0.25">
      <c r="A36" s="166" t="s">
        <v>1251</v>
      </c>
      <c r="B36" s="142" t="s">
        <v>1124</v>
      </c>
      <c r="C36" s="133" t="s">
        <v>1289</v>
      </c>
      <c r="D36" s="170" t="s">
        <v>1331</v>
      </c>
      <c r="E36" s="133" t="s">
        <v>1143</v>
      </c>
      <c r="F36" s="133"/>
      <c r="G36" s="133" t="s">
        <v>1263</v>
      </c>
      <c r="H36" s="136"/>
      <c r="I36" s="138"/>
    </row>
    <row r="37" spans="1:9" ht="409.5" x14ac:dyDescent="0.25">
      <c r="A37" s="166" t="s">
        <v>1237</v>
      </c>
      <c r="B37" s="142" t="s">
        <v>1177</v>
      </c>
      <c r="C37" s="133" t="s">
        <v>1288</v>
      </c>
      <c r="D37" s="170" t="s">
        <v>1279</v>
      </c>
      <c r="E37" s="133" t="s">
        <v>1149</v>
      </c>
      <c r="F37" s="133"/>
      <c r="G37" s="133" t="s">
        <v>1263</v>
      </c>
      <c r="H37" s="170"/>
      <c r="I37" s="138" t="s">
        <v>1171</v>
      </c>
    </row>
    <row r="38" spans="1:9" ht="409.5" x14ac:dyDescent="0.25">
      <c r="A38" s="166" t="s">
        <v>1238</v>
      </c>
      <c r="B38" s="142" t="s">
        <v>1125</v>
      </c>
      <c r="C38" s="133" t="s">
        <v>1287</v>
      </c>
      <c r="D38" s="170" t="s">
        <v>1315</v>
      </c>
      <c r="E38" s="133" t="s">
        <v>1143</v>
      </c>
      <c r="F38" s="170" t="s">
        <v>1257</v>
      </c>
      <c r="G38" s="133" t="s">
        <v>1263</v>
      </c>
      <c r="H38" s="136"/>
      <c r="I38" s="140"/>
    </row>
    <row r="39" spans="1:9" ht="409.5" x14ac:dyDescent="0.25">
      <c r="A39" s="166" t="s">
        <v>1255</v>
      </c>
      <c r="B39" s="142" t="s">
        <v>1125</v>
      </c>
      <c r="C39" s="133" t="s">
        <v>1287</v>
      </c>
      <c r="D39" s="170" t="s">
        <v>1314</v>
      </c>
      <c r="E39" s="133" t="s">
        <v>1143</v>
      </c>
      <c r="F39" s="170"/>
      <c r="G39" s="133" t="s">
        <v>1263</v>
      </c>
      <c r="H39" s="168" t="s">
        <v>1308</v>
      </c>
      <c r="I39" s="140"/>
    </row>
    <row r="40" spans="1:9" ht="409.5" x14ac:dyDescent="0.25">
      <c r="A40" s="166" t="s">
        <v>1256</v>
      </c>
      <c r="B40" s="142" t="s">
        <v>1125</v>
      </c>
      <c r="C40" s="133" t="s">
        <v>1287</v>
      </c>
      <c r="D40" s="170" t="s">
        <v>1316</v>
      </c>
      <c r="E40" s="133" t="s">
        <v>1143</v>
      </c>
      <c r="F40" s="170"/>
      <c r="G40" s="133" t="s">
        <v>1263</v>
      </c>
      <c r="H40" s="168"/>
      <c r="I40" s="140"/>
    </row>
    <row r="41" spans="1:9" ht="409.5" x14ac:dyDescent="0.25">
      <c r="A41" s="166" t="s">
        <v>1239</v>
      </c>
      <c r="B41" s="142" t="s">
        <v>1178</v>
      </c>
      <c r="C41" s="133" t="s">
        <v>1286</v>
      </c>
      <c r="D41" s="170" t="s">
        <v>1317</v>
      </c>
      <c r="E41" s="133" t="s">
        <v>1143</v>
      </c>
      <c r="F41" s="170"/>
      <c r="G41" s="133" t="s">
        <v>1263</v>
      </c>
      <c r="H41" s="168"/>
      <c r="I41" s="140"/>
    </row>
    <row r="42" spans="1:9" ht="409.5" x14ac:dyDescent="0.25">
      <c r="A42" s="166" t="s">
        <v>1240</v>
      </c>
      <c r="B42" s="142" t="s">
        <v>1312</v>
      </c>
      <c r="C42" s="133" t="s">
        <v>1285</v>
      </c>
      <c r="D42" s="170" t="s">
        <v>1318</v>
      </c>
      <c r="E42" s="133" t="s">
        <v>1143</v>
      </c>
      <c r="F42" s="170"/>
      <c r="G42" s="133" t="s">
        <v>1263</v>
      </c>
      <c r="H42" s="168"/>
      <c r="I42" s="140"/>
    </row>
    <row r="43" spans="1:9" x14ac:dyDescent="0.25">
      <c r="B43" s="127"/>
      <c r="C43" s="127"/>
      <c r="D43" s="127"/>
      <c r="E43" s="127"/>
      <c r="F43" s="127"/>
      <c r="G43" s="127"/>
    </row>
    <row r="44" spans="1:9" x14ac:dyDescent="0.25">
      <c r="B44" s="127"/>
      <c r="C44" s="127"/>
      <c r="D44" s="127"/>
      <c r="E44" s="127"/>
      <c r="F44" s="127"/>
      <c r="G44" s="127"/>
    </row>
    <row r="45" spans="1:9" x14ac:dyDescent="0.25">
      <c r="B45" s="127"/>
      <c r="C45" s="127"/>
      <c r="D45" s="127"/>
      <c r="E45" s="127"/>
      <c r="F45" s="127"/>
      <c r="G45" s="127"/>
    </row>
    <row r="46" spans="1:9" x14ac:dyDescent="0.25">
      <c r="B46" s="127"/>
      <c r="C46" s="127"/>
      <c r="D46" s="127"/>
      <c r="E46" s="127"/>
      <c r="F46" s="127"/>
      <c r="G46" s="127"/>
    </row>
    <row r="47" spans="1:9" x14ac:dyDescent="0.25">
      <c r="B47" s="127"/>
      <c r="C47" s="127"/>
      <c r="D47" s="127"/>
      <c r="E47" s="127"/>
      <c r="F47" s="127"/>
      <c r="G47" s="127"/>
    </row>
    <row r="48" spans="1:9" x14ac:dyDescent="0.25">
      <c r="B48" s="127"/>
      <c r="C48" s="127"/>
      <c r="D48" s="127"/>
      <c r="E48" s="127"/>
      <c r="F48" s="127"/>
      <c r="G48" s="127"/>
    </row>
    <row r="49" spans="2:7" x14ac:dyDescent="0.25">
      <c r="B49" s="127"/>
      <c r="C49" s="127"/>
      <c r="D49" s="127"/>
      <c r="E49" s="127"/>
      <c r="F49" s="127"/>
      <c r="G49" s="127"/>
    </row>
    <row r="50" spans="2:7" x14ac:dyDescent="0.25">
      <c r="B50" s="127"/>
      <c r="C50" s="127"/>
      <c r="D50" s="127"/>
      <c r="E50" s="127"/>
      <c r="F50" s="127"/>
      <c r="G50" s="127"/>
    </row>
    <row r="51" spans="2:7" x14ac:dyDescent="0.25">
      <c r="B51" s="127"/>
      <c r="C51" s="127"/>
      <c r="D51" s="127"/>
      <c r="E51" s="127"/>
      <c r="F51" s="127"/>
      <c r="G51" s="127"/>
    </row>
    <row r="52" spans="2:7" x14ac:dyDescent="0.25">
      <c r="B52" s="127"/>
      <c r="C52" s="127"/>
      <c r="D52" s="127"/>
      <c r="E52" s="127"/>
      <c r="F52" s="127"/>
      <c r="G52" s="127"/>
    </row>
    <row r="53" spans="2:7" x14ac:dyDescent="0.25">
      <c r="B53" s="127"/>
      <c r="C53" s="127"/>
      <c r="D53" s="127"/>
      <c r="E53" s="127"/>
      <c r="F53" s="127"/>
      <c r="G53" s="127"/>
    </row>
    <row r="54" spans="2:7" x14ac:dyDescent="0.25">
      <c r="B54" s="127"/>
      <c r="C54" s="127"/>
      <c r="D54" s="127"/>
      <c r="E54" s="127"/>
      <c r="F54" s="127"/>
      <c r="G54" s="127"/>
    </row>
    <row r="55" spans="2:7" x14ac:dyDescent="0.25">
      <c r="B55" s="127"/>
      <c r="C55" s="127"/>
      <c r="D55" s="127"/>
      <c r="E55" s="127"/>
      <c r="F55" s="127"/>
      <c r="G55" s="127"/>
    </row>
    <row r="56" spans="2:7" x14ac:dyDescent="0.25">
      <c r="B56" s="127"/>
      <c r="C56" s="127"/>
      <c r="D56" s="127"/>
      <c r="E56" s="127"/>
      <c r="F56" s="127"/>
      <c r="G56" s="127"/>
    </row>
    <row r="57" spans="2:7" x14ac:dyDescent="0.25">
      <c r="B57" s="127"/>
      <c r="C57" s="127"/>
      <c r="D57" s="127"/>
      <c r="E57" s="127"/>
      <c r="F57" s="127"/>
      <c r="G57" s="127"/>
    </row>
    <row r="58" spans="2:7" x14ac:dyDescent="0.25">
      <c r="B58" s="127"/>
      <c r="C58" s="127"/>
      <c r="D58" s="127"/>
      <c r="E58" s="127"/>
      <c r="F58" s="127"/>
      <c r="G58" s="127"/>
    </row>
    <row r="59" spans="2:7" x14ac:dyDescent="0.25">
      <c r="B59" s="127"/>
      <c r="C59" s="127"/>
      <c r="D59" s="127"/>
      <c r="E59" s="127"/>
      <c r="F59" s="127"/>
      <c r="G59" s="127"/>
    </row>
    <row r="60" spans="2:7" x14ac:dyDescent="0.25">
      <c r="B60" s="127"/>
      <c r="C60" s="127"/>
      <c r="D60" s="127"/>
      <c r="E60" s="127"/>
      <c r="F60" s="127"/>
      <c r="G60" s="127"/>
    </row>
    <row r="61" spans="2:7" x14ac:dyDescent="0.25">
      <c r="B61" s="127"/>
      <c r="C61" s="127"/>
      <c r="D61" s="127"/>
      <c r="E61" s="127"/>
      <c r="F61" s="127"/>
      <c r="G61" s="127"/>
    </row>
    <row r="62" spans="2:7" x14ac:dyDescent="0.25">
      <c r="B62" s="127"/>
      <c r="C62" s="127"/>
      <c r="D62" s="127"/>
      <c r="E62" s="127"/>
      <c r="F62" s="127"/>
      <c r="G62" s="127"/>
    </row>
    <row r="63" spans="2:7" x14ac:dyDescent="0.25">
      <c r="B63" s="127"/>
      <c r="C63" s="127"/>
      <c r="D63" s="127"/>
      <c r="E63" s="127"/>
      <c r="F63" s="127"/>
      <c r="G63" s="127"/>
    </row>
    <row r="64" spans="2:7" x14ac:dyDescent="0.25">
      <c r="B64" s="127"/>
      <c r="C64" s="127"/>
      <c r="D64" s="127"/>
      <c r="E64" s="127"/>
      <c r="F64" s="127"/>
      <c r="G64" s="127"/>
    </row>
    <row r="65" spans="2:7" x14ac:dyDescent="0.25">
      <c r="B65" s="127"/>
      <c r="C65" s="127"/>
      <c r="D65" s="127"/>
      <c r="E65" s="127"/>
      <c r="F65" s="127"/>
      <c r="G65" s="127"/>
    </row>
  </sheetData>
  <sheetProtection algorithmName="SHA-512" hashValue="3YIASrlzxvyoxEUkgZ4t7wIqcepkAPW7gRPhBJeDw3L624QUcwlc9drYBjxIWPTnbXSHn9mZO/wQFaRckE929A==" saltValue="d8JwrKJ2OBozd+wvMOZySg==" spinCount="100000" sheet="1" formatCells="0" formatColumns="0" formatRows="0" insertColumns="0" insertRows="0" insertHyperlinks="0" deleteColumns="0" deleteRows="0" sort="0" autoFilter="0" pivotTables="0"/>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CD076-0B27-4D17-A8CA-224DA83B81FB}">
  <sheetPr codeName="Sheet6"/>
  <dimension ref="A1:J51"/>
  <sheetViews>
    <sheetView topLeftCell="A7" zoomScale="115" zoomScaleNormal="115" workbookViewId="0">
      <selection activeCell="B29" sqref="B29"/>
    </sheetView>
  </sheetViews>
  <sheetFormatPr defaultRowHeight="15" x14ac:dyDescent="0.25"/>
  <cols>
    <col min="1" max="1" width="10.85546875" customWidth="1"/>
    <col min="2" max="2" width="111.42578125" bestFit="1" customWidth="1"/>
    <col min="3" max="3" width="10.140625" customWidth="1"/>
    <col min="5" max="5" width="32.140625" customWidth="1"/>
    <col min="7" max="7" width="25.5703125" hidden="1" customWidth="1"/>
    <col min="8" max="8" width="0" hidden="1" customWidth="1"/>
    <col min="9" max="9" width="20.140625" hidden="1" customWidth="1"/>
  </cols>
  <sheetData>
    <row r="1" spans="1:10" ht="47.45" customHeight="1" thickBot="1" x14ac:dyDescent="0.3">
      <c r="A1" s="10"/>
      <c r="B1" s="11"/>
      <c r="C1" s="10"/>
      <c r="D1" s="10"/>
      <c r="E1" s="10"/>
      <c r="F1" s="10"/>
      <c r="G1" s="5"/>
      <c r="H1" s="5"/>
      <c r="I1" s="5"/>
      <c r="J1" s="5"/>
    </row>
    <row r="2" spans="1:10" ht="51.95" customHeight="1" thickBot="1" x14ac:dyDescent="0.4">
      <c r="A2" s="190" t="s">
        <v>597</v>
      </c>
      <c r="B2" s="191"/>
      <c r="C2" s="192"/>
      <c r="D2" s="10"/>
      <c r="E2" s="10"/>
      <c r="F2" s="10"/>
      <c r="G2" s="5"/>
      <c r="H2" s="5"/>
      <c r="I2" s="5"/>
      <c r="J2" s="5"/>
    </row>
    <row r="3" spans="1:10" ht="21.75" thickBot="1" x14ac:dyDescent="0.4">
      <c r="A3" s="39"/>
      <c r="B3" s="40"/>
      <c r="C3" s="41"/>
      <c r="D3" s="10"/>
      <c r="E3" s="10"/>
      <c r="F3" s="10"/>
      <c r="G3" s="5"/>
      <c r="H3" s="5"/>
      <c r="I3" s="5"/>
      <c r="J3" s="5"/>
    </row>
    <row r="4" spans="1:10" ht="66" customHeight="1" thickBot="1" x14ac:dyDescent="0.3">
      <c r="A4" s="222" t="s">
        <v>987</v>
      </c>
      <c r="B4" s="233"/>
      <c r="C4" s="234"/>
      <c r="D4" s="10"/>
      <c r="E4" s="10"/>
      <c r="F4" s="10"/>
      <c r="G4" s="5"/>
      <c r="H4" s="5"/>
      <c r="I4" s="5"/>
      <c r="J4" s="5"/>
    </row>
    <row r="5" spans="1:10" ht="21.75" thickBot="1" x14ac:dyDescent="0.4">
      <c r="A5" s="190"/>
      <c r="B5" s="191"/>
      <c r="C5" s="192"/>
      <c r="D5" s="10"/>
      <c r="E5" s="10"/>
      <c r="F5" s="10"/>
      <c r="G5" s="5"/>
      <c r="H5" s="5"/>
      <c r="I5" s="5"/>
      <c r="J5" s="5"/>
    </row>
    <row r="6" spans="1:10" ht="15.95" customHeight="1" x14ac:dyDescent="0.35">
      <c r="A6" s="10"/>
      <c r="B6" s="22"/>
      <c r="C6" s="10"/>
      <c r="D6" s="10"/>
      <c r="E6" s="10"/>
      <c r="F6" s="10"/>
      <c r="G6" s="5"/>
      <c r="H6" s="5"/>
      <c r="I6" s="5"/>
      <c r="J6" s="5"/>
    </row>
    <row r="7" spans="1:10" ht="15.95" customHeight="1" x14ac:dyDescent="0.25">
      <c r="A7" s="12" t="s">
        <v>8</v>
      </c>
      <c r="B7" s="13" t="s">
        <v>964</v>
      </c>
      <c r="C7" s="14" t="s">
        <v>0</v>
      </c>
      <c r="D7" s="12"/>
      <c r="E7" s="13" t="s">
        <v>573</v>
      </c>
      <c r="F7" s="10"/>
      <c r="G7" s="6" t="s">
        <v>549</v>
      </c>
      <c r="H7" s="6"/>
      <c r="I7" s="6" t="s">
        <v>1</v>
      </c>
      <c r="J7" s="5"/>
    </row>
    <row r="8" spans="1:10" ht="15.95" customHeight="1" x14ac:dyDescent="0.25">
      <c r="A8" s="27">
        <v>1</v>
      </c>
      <c r="B8" s="26" t="s">
        <v>1007</v>
      </c>
      <c r="C8" s="62"/>
      <c r="D8" s="10"/>
      <c r="E8" s="29"/>
      <c r="F8" s="10"/>
      <c r="G8" s="5" t="s">
        <v>654</v>
      </c>
      <c r="H8" s="5"/>
      <c r="I8" s="5" t="s">
        <v>542</v>
      </c>
      <c r="J8" s="5"/>
    </row>
    <row r="9" spans="1:10" ht="15.95" customHeight="1" x14ac:dyDescent="0.25">
      <c r="A9" s="27" t="s">
        <v>26</v>
      </c>
      <c r="B9" s="26" t="s">
        <v>27</v>
      </c>
      <c r="C9" s="62"/>
      <c r="D9" s="10"/>
      <c r="E9" s="29"/>
      <c r="F9" s="10"/>
      <c r="G9" s="5" t="s">
        <v>658</v>
      </c>
      <c r="H9" s="5"/>
      <c r="I9" s="5" t="s">
        <v>542</v>
      </c>
      <c r="J9" s="5"/>
    </row>
    <row r="10" spans="1:10" ht="15.95" customHeight="1" x14ac:dyDescent="0.25">
      <c r="A10" s="27" t="s">
        <v>28</v>
      </c>
      <c r="B10" s="26" t="s">
        <v>988</v>
      </c>
      <c r="C10" s="62"/>
      <c r="D10" s="10"/>
      <c r="E10" s="29"/>
      <c r="F10" s="10"/>
      <c r="G10" s="5" t="s">
        <v>655</v>
      </c>
      <c r="H10" s="5"/>
      <c r="I10" s="5" t="s">
        <v>542</v>
      </c>
      <c r="J10" s="5"/>
    </row>
    <row r="11" spans="1:10" ht="32.1" customHeight="1" x14ac:dyDescent="0.25">
      <c r="A11" s="28" t="s">
        <v>598</v>
      </c>
      <c r="B11" s="63"/>
      <c r="C11" s="24"/>
      <c r="D11" s="10"/>
      <c r="E11" s="30" t="s">
        <v>989</v>
      </c>
      <c r="F11" s="10"/>
      <c r="G11" s="5" t="s">
        <v>656</v>
      </c>
      <c r="H11" s="5"/>
      <c r="I11" s="5"/>
      <c r="J11" s="5"/>
    </row>
    <row r="12" spans="1:10" ht="15.95" customHeight="1" x14ac:dyDescent="0.25">
      <c r="A12" s="27">
        <v>2</v>
      </c>
      <c r="B12" s="26" t="s">
        <v>29</v>
      </c>
      <c r="C12" s="62"/>
      <c r="D12" s="10"/>
      <c r="E12" s="29"/>
      <c r="F12" s="10"/>
      <c r="G12" s="5" t="s">
        <v>657</v>
      </c>
      <c r="H12" s="5"/>
      <c r="I12" s="5" t="s">
        <v>542</v>
      </c>
      <c r="J12" s="5"/>
    </row>
    <row r="13" spans="1:10" ht="15.95" customHeight="1" x14ac:dyDescent="0.25">
      <c r="A13" s="27" t="s">
        <v>30</v>
      </c>
      <c r="B13" s="26" t="s">
        <v>31</v>
      </c>
      <c r="C13" s="62"/>
      <c r="D13" s="10"/>
      <c r="E13" s="29"/>
      <c r="F13" s="10"/>
      <c r="G13" s="5" t="s">
        <v>659</v>
      </c>
      <c r="H13" s="5"/>
      <c r="I13" s="5" t="s">
        <v>542</v>
      </c>
      <c r="J13" s="5"/>
    </row>
    <row r="14" spans="1:10" ht="15.95" customHeight="1" x14ac:dyDescent="0.25">
      <c r="A14" s="27" t="s">
        <v>32</v>
      </c>
      <c r="B14" s="26" t="s">
        <v>33</v>
      </c>
      <c r="C14" s="62"/>
      <c r="D14" s="10"/>
      <c r="E14" s="29"/>
      <c r="F14" s="10"/>
      <c r="G14" s="5" t="s">
        <v>660</v>
      </c>
      <c r="H14" s="5"/>
      <c r="I14" s="5" t="s">
        <v>542</v>
      </c>
      <c r="J14" s="5"/>
    </row>
    <row r="15" spans="1:10" ht="15.95" customHeight="1" x14ac:dyDescent="0.25">
      <c r="A15" s="27" t="s">
        <v>34</v>
      </c>
      <c r="B15" s="26" t="s">
        <v>990</v>
      </c>
      <c r="C15" s="62"/>
      <c r="D15" s="10"/>
      <c r="E15" s="29"/>
      <c r="F15" s="10"/>
      <c r="G15" s="5" t="s">
        <v>661</v>
      </c>
      <c r="H15" s="5"/>
      <c r="I15" s="5" t="s">
        <v>542</v>
      </c>
      <c r="J15" s="5"/>
    </row>
    <row r="16" spans="1:10" ht="15.95" customHeight="1" x14ac:dyDescent="0.25">
      <c r="A16" s="27" t="s">
        <v>35</v>
      </c>
      <c r="B16" s="26" t="s">
        <v>991</v>
      </c>
      <c r="C16" s="62"/>
      <c r="D16" s="10"/>
      <c r="E16" s="29"/>
      <c r="F16" s="10"/>
      <c r="G16" s="5" t="s">
        <v>662</v>
      </c>
      <c r="H16" s="5"/>
      <c r="I16" s="5" t="s">
        <v>542</v>
      </c>
      <c r="J16" s="5"/>
    </row>
    <row r="17" spans="1:10" ht="15.95" customHeight="1" x14ac:dyDescent="0.25">
      <c r="A17" s="27" t="s">
        <v>36</v>
      </c>
      <c r="B17" s="26" t="s">
        <v>37</v>
      </c>
      <c r="C17" s="62"/>
      <c r="D17" s="10"/>
      <c r="E17" s="29"/>
      <c r="F17" s="10"/>
      <c r="G17" s="5" t="s">
        <v>663</v>
      </c>
      <c r="H17" s="5"/>
      <c r="I17" s="5" t="s">
        <v>542</v>
      </c>
      <c r="J17" s="5"/>
    </row>
    <row r="18" spans="1:10" ht="32.1" customHeight="1" x14ac:dyDescent="0.25">
      <c r="A18" s="28" t="s">
        <v>599</v>
      </c>
      <c r="B18" s="63"/>
      <c r="C18" s="24"/>
      <c r="D18" s="10"/>
      <c r="E18" s="30" t="s">
        <v>989</v>
      </c>
      <c r="F18" s="10"/>
      <c r="G18" s="5" t="s">
        <v>664</v>
      </c>
      <c r="H18" s="5"/>
      <c r="I18" s="5"/>
      <c r="J18" s="5"/>
    </row>
    <row r="19" spans="1:10" ht="15.95" customHeight="1" x14ac:dyDescent="0.25">
      <c r="A19" s="27">
        <v>3</v>
      </c>
      <c r="B19" s="26" t="s">
        <v>992</v>
      </c>
      <c r="C19" s="62"/>
      <c r="D19" s="10"/>
      <c r="E19" s="29"/>
      <c r="F19" s="10"/>
      <c r="G19" s="5" t="s">
        <v>665</v>
      </c>
      <c r="H19" s="5"/>
      <c r="I19" s="5" t="s">
        <v>542</v>
      </c>
      <c r="J19" s="5"/>
    </row>
    <row r="20" spans="1:10" ht="32.1" customHeight="1" x14ac:dyDescent="0.25">
      <c r="A20" s="28" t="s">
        <v>600</v>
      </c>
      <c r="B20" s="63"/>
      <c r="C20" s="24"/>
      <c r="D20" s="10"/>
      <c r="E20" s="30" t="s">
        <v>989</v>
      </c>
      <c r="F20" s="10"/>
      <c r="G20" s="5" t="s">
        <v>666</v>
      </c>
      <c r="H20" s="5"/>
      <c r="I20" s="5"/>
      <c r="J20" s="5"/>
    </row>
    <row r="21" spans="1:10" ht="15.95" customHeight="1" x14ac:dyDescent="0.25">
      <c r="A21" s="27">
        <v>4</v>
      </c>
      <c r="B21" s="26" t="s">
        <v>38</v>
      </c>
      <c r="C21" s="62"/>
      <c r="D21" s="10"/>
      <c r="E21" s="29"/>
      <c r="F21" s="10"/>
      <c r="G21" s="5" t="s">
        <v>667</v>
      </c>
      <c r="H21" s="5"/>
      <c r="I21" s="5" t="s">
        <v>542</v>
      </c>
      <c r="J21" s="5"/>
    </row>
    <row r="22" spans="1:10" ht="32.1" customHeight="1" x14ac:dyDescent="0.25">
      <c r="A22" s="28" t="s">
        <v>601</v>
      </c>
      <c r="B22" s="63"/>
      <c r="C22" s="24"/>
      <c r="D22" s="10"/>
      <c r="E22" s="30" t="s">
        <v>989</v>
      </c>
      <c r="F22" s="10"/>
      <c r="G22" s="5" t="s">
        <v>668</v>
      </c>
      <c r="H22" s="5"/>
      <c r="I22" s="5"/>
      <c r="J22" s="5"/>
    </row>
    <row r="23" spans="1:10" ht="15.95" customHeight="1" x14ac:dyDescent="0.25">
      <c r="A23" s="27">
        <v>5</v>
      </c>
      <c r="B23" s="26" t="s">
        <v>39</v>
      </c>
      <c r="C23" s="62"/>
      <c r="D23" s="10"/>
      <c r="E23" s="29"/>
      <c r="F23" s="10"/>
      <c r="G23" s="5" t="s">
        <v>669</v>
      </c>
      <c r="H23" s="5"/>
      <c r="I23" s="5" t="s">
        <v>542</v>
      </c>
      <c r="J23" s="5"/>
    </row>
    <row r="24" spans="1:10" ht="15.95" customHeight="1" x14ac:dyDescent="0.25">
      <c r="A24" s="27" t="s">
        <v>40</v>
      </c>
      <c r="B24" s="26" t="s">
        <v>41</v>
      </c>
      <c r="C24" s="62"/>
      <c r="D24" s="10"/>
      <c r="E24" s="29"/>
      <c r="F24" s="10"/>
      <c r="G24" s="5" t="s">
        <v>670</v>
      </c>
      <c r="H24" s="5"/>
      <c r="I24" s="5" t="s">
        <v>542</v>
      </c>
      <c r="J24" s="5"/>
    </row>
    <row r="25" spans="1:10" ht="32.1" customHeight="1" x14ac:dyDescent="0.25">
      <c r="A25" s="28" t="s">
        <v>602</v>
      </c>
      <c r="B25" s="63"/>
      <c r="C25" s="24"/>
      <c r="D25" s="10"/>
      <c r="E25" s="30" t="s">
        <v>989</v>
      </c>
      <c r="F25" s="10"/>
      <c r="G25" s="5" t="s">
        <v>671</v>
      </c>
      <c r="H25" s="5"/>
      <c r="I25" s="5"/>
      <c r="J25" s="5"/>
    </row>
    <row r="26" spans="1:10" ht="15.95" customHeight="1" x14ac:dyDescent="0.25">
      <c r="A26" s="27">
        <v>6</v>
      </c>
      <c r="B26" s="26" t="s">
        <v>42</v>
      </c>
      <c r="C26" s="62"/>
      <c r="D26" s="10"/>
      <c r="E26" s="29"/>
      <c r="F26" s="10"/>
      <c r="G26" s="5" t="s">
        <v>672</v>
      </c>
      <c r="H26" s="5"/>
      <c r="I26" s="5" t="s">
        <v>542</v>
      </c>
      <c r="J26" s="5"/>
    </row>
    <row r="27" spans="1:10" ht="32.1" customHeight="1" x14ac:dyDescent="0.25">
      <c r="A27" s="28" t="s">
        <v>603</v>
      </c>
      <c r="B27" s="63"/>
      <c r="C27" s="24"/>
      <c r="D27" s="10"/>
      <c r="E27" s="30" t="s">
        <v>989</v>
      </c>
      <c r="F27" s="10"/>
      <c r="G27" t="s">
        <v>673</v>
      </c>
      <c r="H27" s="5"/>
      <c r="I27" s="5"/>
      <c r="J27" s="5"/>
    </row>
    <row r="28" spans="1:10" ht="15.95" customHeight="1" x14ac:dyDescent="0.25">
      <c r="A28" s="27">
        <v>7</v>
      </c>
      <c r="B28" s="26" t="s">
        <v>43</v>
      </c>
      <c r="C28" s="62"/>
      <c r="D28" s="10"/>
      <c r="E28" s="29"/>
      <c r="F28" s="10"/>
      <c r="G28" s="5" t="s">
        <v>674</v>
      </c>
      <c r="H28" s="5"/>
      <c r="I28" s="5" t="s">
        <v>542</v>
      </c>
      <c r="J28" s="5"/>
    </row>
    <row r="29" spans="1:10" ht="15.95" customHeight="1" x14ac:dyDescent="0.25">
      <c r="A29" s="27" t="s">
        <v>44</v>
      </c>
      <c r="B29" s="26" t="s">
        <v>45</v>
      </c>
      <c r="C29" s="62"/>
      <c r="D29" s="10"/>
      <c r="E29" s="29"/>
      <c r="F29" s="10"/>
      <c r="G29" s="5" t="s">
        <v>675</v>
      </c>
      <c r="H29" s="5"/>
      <c r="I29" s="5" t="s">
        <v>542</v>
      </c>
      <c r="J29" s="5"/>
    </row>
    <row r="30" spans="1:10" ht="15.95" customHeight="1" x14ac:dyDescent="0.25">
      <c r="A30" s="27" t="s">
        <v>46</v>
      </c>
      <c r="B30" s="26" t="s">
        <v>47</v>
      </c>
      <c r="C30" s="62"/>
      <c r="D30" s="10"/>
      <c r="E30" s="29"/>
      <c r="F30" s="10"/>
      <c r="G30" s="5" t="s">
        <v>676</v>
      </c>
      <c r="H30" s="5"/>
      <c r="I30" s="5" t="s">
        <v>542</v>
      </c>
      <c r="J30" s="5"/>
    </row>
    <row r="31" spans="1:10" ht="15.95" customHeight="1" x14ac:dyDescent="0.25">
      <c r="A31" s="27" t="s">
        <v>48</v>
      </c>
      <c r="B31" s="26" t="s">
        <v>49</v>
      </c>
      <c r="C31" s="62"/>
      <c r="D31" s="10"/>
      <c r="E31" s="29"/>
      <c r="F31" s="10"/>
      <c r="G31" t="s">
        <v>677</v>
      </c>
      <c r="H31" s="5"/>
      <c r="I31" s="5" t="s">
        <v>542</v>
      </c>
      <c r="J31" s="5"/>
    </row>
    <row r="32" spans="1:10" ht="15.95" customHeight="1" x14ac:dyDescent="0.25">
      <c r="A32" s="27" t="s">
        <v>50</v>
      </c>
      <c r="B32" s="26" t="s">
        <v>51</v>
      </c>
      <c r="C32" s="62"/>
      <c r="D32" s="10"/>
      <c r="E32" s="29"/>
      <c r="F32" s="10"/>
      <c r="G32" s="42" t="s">
        <v>678</v>
      </c>
      <c r="H32" s="17"/>
      <c r="I32" s="43" t="s">
        <v>542</v>
      </c>
      <c r="J32" s="17"/>
    </row>
    <row r="33" spans="1:10" ht="32.1" customHeight="1" x14ac:dyDescent="0.25">
      <c r="A33" s="28" t="s">
        <v>607</v>
      </c>
      <c r="B33" s="63"/>
      <c r="C33" s="24"/>
      <c r="D33" s="10"/>
      <c r="E33" s="30" t="s">
        <v>989</v>
      </c>
      <c r="F33" s="10"/>
      <c r="G33" s="5" t="s">
        <v>679</v>
      </c>
      <c r="H33" s="5"/>
      <c r="I33" s="5"/>
      <c r="J33" s="5"/>
    </row>
    <row r="34" spans="1:10" ht="15.95" customHeight="1" x14ac:dyDescent="0.25">
      <c r="A34" s="27">
        <v>8</v>
      </c>
      <c r="B34" s="26" t="s">
        <v>52</v>
      </c>
      <c r="C34" s="62"/>
      <c r="D34" s="10"/>
      <c r="E34" s="29"/>
      <c r="F34" s="10"/>
      <c r="G34" s="5" t="s">
        <v>680</v>
      </c>
      <c r="H34" s="5"/>
      <c r="I34" s="5" t="s">
        <v>542</v>
      </c>
      <c r="J34" s="5"/>
    </row>
    <row r="35" spans="1:10" ht="32.1" customHeight="1" x14ac:dyDescent="0.25">
      <c r="A35" s="28" t="s">
        <v>606</v>
      </c>
      <c r="B35" s="63"/>
      <c r="C35" s="24"/>
      <c r="D35" s="10"/>
      <c r="E35" s="30" t="s">
        <v>989</v>
      </c>
      <c r="F35" s="10"/>
      <c r="G35" s="5" t="s">
        <v>681</v>
      </c>
      <c r="H35" s="5"/>
      <c r="I35" s="5"/>
      <c r="J35" s="5"/>
    </row>
    <row r="36" spans="1:10" ht="15.95" customHeight="1" x14ac:dyDescent="0.25">
      <c r="A36" s="27">
        <v>9</v>
      </c>
      <c r="B36" s="26" t="s">
        <v>993</v>
      </c>
      <c r="C36" s="62"/>
      <c r="D36" s="10"/>
      <c r="E36" s="29"/>
      <c r="F36" s="10"/>
      <c r="G36" s="5" t="s">
        <v>682</v>
      </c>
      <c r="H36" s="5"/>
      <c r="I36" s="5" t="s">
        <v>542</v>
      </c>
      <c r="J36" s="5"/>
    </row>
    <row r="37" spans="1:10" ht="32.1" customHeight="1" x14ac:dyDescent="0.25">
      <c r="A37" s="28" t="s">
        <v>605</v>
      </c>
      <c r="B37" s="63"/>
      <c r="C37" s="24"/>
      <c r="D37" s="10"/>
      <c r="E37" s="30" t="s">
        <v>989</v>
      </c>
      <c r="F37" s="10"/>
      <c r="G37" s="5" t="s">
        <v>683</v>
      </c>
      <c r="H37" s="5"/>
      <c r="I37" s="5"/>
      <c r="J37" s="5"/>
    </row>
    <row r="38" spans="1:10" ht="15.95" customHeight="1" x14ac:dyDescent="0.25">
      <c r="A38" s="27">
        <v>10</v>
      </c>
      <c r="B38" s="26" t="s">
        <v>53</v>
      </c>
      <c r="C38" s="62"/>
      <c r="D38" s="10"/>
      <c r="E38" s="29"/>
      <c r="F38" s="10"/>
      <c r="G38" s="5" t="s">
        <v>684</v>
      </c>
      <c r="H38" s="5"/>
      <c r="I38" s="5" t="s">
        <v>542</v>
      </c>
      <c r="J38" s="5"/>
    </row>
    <row r="39" spans="1:10" ht="32.1" customHeight="1" x14ac:dyDescent="0.25">
      <c r="A39" s="28" t="s">
        <v>604</v>
      </c>
      <c r="B39" s="63"/>
      <c r="C39" s="24"/>
      <c r="D39" s="10"/>
      <c r="E39" s="30" t="s">
        <v>989</v>
      </c>
      <c r="F39" s="10"/>
      <c r="G39" s="5" t="s">
        <v>685</v>
      </c>
      <c r="H39" s="5"/>
      <c r="I39" s="5"/>
      <c r="J39" s="5"/>
    </row>
    <row r="40" spans="1:10" ht="15.95" customHeight="1" x14ac:dyDescent="0.25">
      <c r="A40" s="31"/>
      <c r="B40" s="32"/>
      <c r="C40" s="31"/>
      <c r="D40" s="10"/>
      <c r="E40" s="10"/>
      <c r="F40" s="10"/>
      <c r="G40" s="5"/>
      <c r="H40" s="5"/>
      <c r="I40" s="5"/>
      <c r="J40" s="5"/>
    </row>
    <row r="41" spans="1:10" ht="15.95" customHeight="1" x14ac:dyDescent="0.25">
      <c r="A41" s="31"/>
      <c r="B41" s="13" t="s">
        <v>994</v>
      </c>
      <c r="C41" s="31"/>
      <c r="D41" s="10"/>
      <c r="E41" s="10"/>
      <c r="F41" s="10"/>
      <c r="G41" s="5"/>
      <c r="H41" s="5"/>
      <c r="I41" s="5"/>
      <c r="J41" s="5"/>
    </row>
    <row r="42" spans="1:10" ht="32.1" customHeight="1" x14ac:dyDescent="0.25">
      <c r="A42" s="28" t="s">
        <v>608</v>
      </c>
      <c r="B42" s="63"/>
      <c r="C42" s="24"/>
      <c r="D42" s="10"/>
      <c r="E42" s="25"/>
      <c r="F42" s="10"/>
      <c r="G42" s="5" t="s">
        <v>686</v>
      </c>
      <c r="H42" s="5"/>
      <c r="I42" s="5"/>
      <c r="J42" s="5"/>
    </row>
    <row r="43" spans="1:10" ht="32.1" customHeight="1" x14ac:dyDescent="0.25">
      <c r="A43" s="28" t="s">
        <v>608</v>
      </c>
      <c r="B43" s="63"/>
      <c r="C43" s="24"/>
      <c r="D43" s="10"/>
      <c r="E43" s="25"/>
      <c r="F43" s="10"/>
      <c r="G43" s="5" t="s">
        <v>687</v>
      </c>
      <c r="H43" s="5"/>
      <c r="I43" s="5"/>
      <c r="J43" s="5"/>
    </row>
    <row r="44" spans="1:10" ht="32.1" customHeight="1" x14ac:dyDescent="0.25">
      <c r="A44" s="28" t="s">
        <v>608</v>
      </c>
      <c r="B44" s="63"/>
      <c r="C44" s="24"/>
      <c r="D44" s="10"/>
      <c r="E44" s="25"/>
      <c r="F44" s="10"/>
      <c r="G44" s="5" t="s">
        <v>688</v>
      </c>
      <c r="H44" s="5"/>
      <c r="I44" s="5"/>
      <c r="J44" s="5"/>
    </row>
    <row r="45" spans="1:10" ht="32.1" customHeight="1" x14ac:dyDescent="0.25">
      <c r="A45" s="28" t="s">
        <v>608</v>
      </c>
      <c r="B45" s="63"/>
      <c r="C45" s="24"/>
      <c r="D45" s="10"/>
      <c r="E45" s="25"/>
      <c r="F45" s="10"/>
      <c r="G45" s="5" t="s">
        <v>689</v>
      </c>
      <c r="H45" s="5"/>
      <c r="I45" s="5"/>
      <c r="J45" s="5"/>
    </row>
    <row r="46" spans="1:10" ht="32.1" customHeight="1" x14ac:dyDescent="0.25">
      <c r="A46" s="28" t="s">
        <v>608</v>
      </c>
      <c r="B46" s="63"/>
      <c r="C46" s="24"/>
      <c r="D46" s="10"/>
      <c r="E46" s="25"/>
      <c r="F46" s="10"/>
      <c r="G46" s="5" t="s">
        <v>690</v>
      </c>
      <c r="H46" s="5"/>
      <c r="I46" s="5"/>
      <c r="J46" s="5"/>
    </row>
    <row r="47" spans="1:10" ht="15.95" customHeight="1" x14ac:dyDescent="0.25">
      <c r="A47" s="10"/>
      <c r="B47" s="10"/>
      <c r="C47" s="10"/>
      <c r="D47" s="10"/>
      <c r="E47" s="10"/>
      <c r="F47" s="10"/>
      <c r="G47" s="5"/>
      <c r="H47" s="5"/>
      <c r="I47" s="5"/>
      <c r="J47" s="5"/>
    </row>
    <row r="48" spans="1:10" ht="15.95" customHeight="1" x14ac:dyDescent="0.25">
      <c r="A48" s="12" t="s">
        <v>693</v>
      </c>
      <c r="B48" s="10"/>
      <c r="C48" s="10"/>
      <c r="D48" s="10"/>
      <c r="E48" s="10"/>
      <c r="F48" s="10"/>
      <c r="G48" s="5"/>
      <c r="H48" s="5"/>
      <c r="I48" s="5"/>
      <c r="J48" s="5"/>
    </row>
    <row r="49" spans="1:10" ht="15.95" customHeight="1" x14ac:dyDescent="0.25">
      <c r="A49" s="12" t="s">
        <v>2</v>
      </c>
      <c r="B49" s="63"/>
      <c r="C49" s="10"/>
      <c r="D49" s="10"/>
      <c r="E49" s="10"/>
      <c r="F49" s="10"/>
      <c r="G49" s="5" t="s">
        <v>942</v>
      </c>
      <c r="H49" s="5"/>
      <c r="I49" s="5"/>
      <c r="J49" s="5"/>
    </row>
    <row r="50" spans="1:10" ht="15.95" customHeight="1" x14ac:dyDescent="0.25">
      <c r="A50" s="10"/>
      <c r="B50" s="10"/>
      <c r="C50" s="10"/>
      <c r="D50" s="10"/>
      <c r="E50" s="10"/>
      <c r="F50" s="10"/>
      <c r="G50" s="5"/>
      <c r="H50" s="5"/>
      <c r="I50" s="5"/>
      <c r="J50" s="5"/>
    </row>
    <row r="51" spans="1:10" ht="15.95" customHeight="1" x14ac:dyDescent="0.25">
      <c r="A51" s="10"/>
      <c r="B51" s="10"/>
      <c r="C51" s="10"/>
      <c r="D51" s="10"/>
      <c r="E51" s="10"/>
      <c r="F51" s="10"/>
      <c r="G51" s="5"/>
      <c r="H51" s="5"/>
      <c r="I51" s="5"/>
      <c r="J51" s="5"/>
    </row>
  </sheetData>
  <sheetProtection algorithmName="SHA-512" hashValue="BPrCv3IPuqwXBoghQdEBX6gtliiQ2kUS1uVA0Zr2uivSWIJr9iZ7OI0WLa0XwnSGMqb5DtN1sjb1i6FRq0iWKQ==" saltValue="fsms9hCbf+hiQoELf8GSaw==" spinCount="100000" sheet="1" objects="1" scenarios="1"/>
  <mergeCells count="3">
    <mergeCell ref="A2:C2"/>
    <mergeCell ref="A5:C5"/>
    <mergeCell ref="A4:C4"/>
  </mergeCells>
  <conditionalFormatting sqref="C8:C10 C12:C17 C19 C21 C23:C24 C26 C28:C32 C34 C36 C38">
    <cfRule type="containsBlanks" dxfId="2" priority="3">
      <formula>LEN(TRIM(C8))=0</formula>
    </cfRule>
  </conditionalFormatting>
  <conditionalFormatting sqref="B11 B18 B20 B22 B25 B27 B33 B35 B37 B39 B42:B46">
    <cfRule type="containsBlanks" dxfId="1" priority="2">
      <formula>LEN(TRIM(B11))=0</formula>
    </cfRule>
  </conditionalFormatting>
  <conditionalFormatting sqref="B49">
    <cfRule type="containsBlanks" dxfId="0" priority="4">
      <formula>LEN(TRIM(B49))=0</formula>
    </cfRule>
  </conditionalFormatting>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DA1315E2-CCC0-4A7B-9406-CED7D9D9D8A8}">
          <x14:formula1>
            <xm:f>FieldValidation!$E$5:$E$7</xm:f>
          </x14:formula1>
          <xm:sqref>C8:C10 C12:C17 C19 C21 C23:C24 C26 C28:C32 C34 C36 C38</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E9D00-293E-4AA0-9A6C-15CD9289F4E1}">
  <sheetPr codeName="Sheet10"/>
  <dimension ref="A1:AC308"/>
  <sheetViews>
    <sheetView topLeftCell="A40" zoomScaleNormal="100" workbookViewId="0">
      <selection activeCell="B82" sqref="B82"/>
    </sheetView>
  </sheetViews>
  <sheetFormatPr defaultRowHeight="15" x14ac:dyDescent="0.25"/>
  <cols>
    <col min="1" max="1" width="27.140625" customWidth="1"/>
    <col min="2" max="2" width="26.42578125" customWidth="1"/>
    <col min="3" max="3" width="35.140625" customWidth="1"/>
    <col min="4" max="4" width="16.140625" customWidth="1"/>
    <col min="5" max="5" width="13.85546875" customWidth="1"/>
    <col min="6" max="6" width="18.85546875" customWidth="1"/>
    <col min="7" max="7" width="14" customWidth="1"/>
  </cols>
  <sheetData>
    <row r="1" spans="1:26" ht="28.5" x14ac:dyDescent="0.45">
      <c r="A1" s="76" t="s">
        <v>943</v>
      </c>
      <c r="B1" s="77" t="s">
        <v>944</v>
      </c>
      <c r="C1" s="78"/>
      <c r="D1" s="78"/>
      <c r="E1" s="79"/>
      <c r="F1" s="80"/>
      <c r="G1" s="80"/>
      <c r="H1" s="80"/>
      <c r="I1" s="80"/>
      <c r="J1" s="80"/>
      <c r="K1" s="80"/>
      <c r="L1" s="80"/>
      <c r="M1" s="80"/>
      <c r="N1" s="80"/>
      <c r="O1" s="80"/>
      <c r="P1" s="80"/>
      <c r="Q1" s="80"/>
      <c r="R1" s="80"/>
      <c r="S1" s="80"/>
      <c r="T1" s="80"/>
      <c r="U1" s="80"/>
      <c r="V1" s="80"/>
      <c r="W1" s="80"/>
      <c r="X1" s="80"/>
      <c r="Y1" s="80"/>
      <c r="Z1" s="80"/>
    </row>
    <row r="2" spans="1:26" x14ac:dyDescent="0.25">
      <c r="A2" s="81" t="s">
        <v>943</v>
      </c>
      <c r="B2" s="82"/>
      <c r="C2" s="82"/>
      <c r="D2" s="82"/>
      <c r="E2" s="83"/>
      <c r="F2" s="80"/>
      <c r="G2" s="80"/>
      <c r="H2" s="80"/>
      <c r="I2" s="80"/>
      <c r="J2" s="80"/>
      <c r="K2" s="80"/>
      <c r="L2" s="80"/>
      <c r="M2" s="80"/>
      <c r="N2" s="80"/>
      <c r="O2" s="80"/>
      <c r="P2" s="80"/>
      <c r="Q2" s="80"/>
      <c r="R2" s="80"/>
      <c r="S2" s="80"/>
      <c r="T2" s="80"/>
      <c r="U2" s="80"/>
      <c r="V2" s="80"/>
      <c r="W2" s="80"/>
      <c r="X2" s="80"/>
      <c r="Y2" s="80"/>
      <c r="Z2" s="80"/>
    </row>
    <row r="3" spans="1:26" x14ac:dyDescent="0.25">
      <c r="A3" s="81" t="s">
        <v>943</v>
      </c>
      <c r="B3" s="84" t="s">
        <v>945</v>
      </c>
      <c r="C3" s="82"/>
      <c r="D3" s="82"/>
      <c r="E3" s="83"/>
      <c r="F3" s="80"/>
      <c r="G3" s="80"/>
      <c r="H3" s="80"/>
      <c r="I3" s="80"/>
      <c r="J3" s="80"/>
      <c r="K3" s="80"/>
      <c r="L3" s="80"/>
      <c r="M3" s="80"/>
      <c r="N3" s="80"/>
      <c r="O3" s="80"/>
      <c r="P3" s="80"/>
      <c r="Q3" s="80"/>
      <c r="R3" s="80"/>
      <c r="S3" s="80"/>
      <c r="T3" s="80"/>
      <c r="U3" s="80"/>
      <c r="V3" s="80"/>
      <c r="W3" s="80"/>
      <c r="X3" s="80"/>
      <c r="Y3" s="80"/>
      <c r="Z3" s="80"/>
    </row>
    <row r="4" spans="1:26" x14ac:dyDescent="0.25">
      <c r="A4" s="81" t="s">
        <v>943</v>
      </c>
      <c r="B4" s="84" t="s">
        <v>946</v>
      </c>
      <c r="C4" s="82"/>
      <c r="D4" s="82"/>
      <c r="E4" s="83"/>
      <c r="F4" s="80"/>
      <c r="G4" s="80"/>
      <c r="H4" s="80"/>
      <c r="I4" s="80"/>
      <c r="J4" s="80"/>
      <c r="K4" s="80"/>
      <c r="L4" s="80"/>
      <c r="M4" s="80"/>
      <c r="N4" s="80"/>
      <c r="O4" s="80"/>
      <c r="P4" s="80"/>
      <c r="Q4" s="80"/>
      <c r="R4" s="80"/>
      <c r="S4" s="80"/>
      <c r="T4" s="80"/>
      <c r="U4" s="80"/>
      <c r="V4" s="80"/>
      <c r="W4" s="80"/>
      <c r="X4" s="80"/>
      <c r="Y4" s="80"/>
      <c r="Z4" s="80"/>
    </row>
    <row r="5" spans="1:26" x14ac:dyDescent="0.25">
      <c r="A5" s="81"/>
      <c r="B5" s="84" t="s">
        <v>947</v>
      </c>
      <c r="C5" s="82"/>
      <c r="D5" s="82"/>
      <c r="E5" s="83"/>
      <c r="F5" s="80"/>
      <c r="G5" s="80"/>
      <c r="H5" s="80"/>
      <c r="I5" s="80"/>
      <c r="J5" s="80"/>
      <c r="K5" s="80"/>
      <c r="L5" s="80"/>
      <c r="M5" s="80"/>
      <c r="N5" s="80"/>
      <c r="O5" s="80"/>
      <c r="P5" s="80"/>
      <c r="Q5" s="80"/>
      <c r="R5" s="80"/>
      <c r="S5" s="80"/>
      <c r="T5" s="80"/>
      <c r="U5" s="80"/>
      <c r="V5" s="80"/>
      <c r="W5" s="80"/>
      <c r="X5" s="80"/>
      <c r="Y5" s="80"/>
      <c r="Z5" s="80"/>
    </row>
    <row r="6" spans="1:26" ht="15.75" thickBot="1" x14ac:dyDescent="0.3">
      <c r="A6" s="85" t="s">
        <v>943</v>
      </c>
      <c r="B6" s="86"/>
      <c r="C6" s="87"/>
      <c r="D6" s="87"/>
      <c r="E6" s="88"/>
      <c r="F6" s="80"/>
      <c r="G6" s="80"/>
      <c r="H6" s="80"/>
      <c r="I6" s="80"/>
      <c r="J6" s="80"/>
      <c r="K6" s="80"/>
      <c r="L6" s="80"/>
      <c r="M6" s="80"/>
      <c r="N6" s="80"/>
      <c r="O6" s="80"/>
      <c r="P6" s="80"/>
      <c r="Q6" s="80"/>
      <c r="R6" s="80"/>
      <c r="S6" s="80"/>
      <c r="T6" s="80"/>
      <c r="U6" s="80"/>
      <c r="V6" s="80"/>
      <c r="W6" s="80"/>
      <c r="X6" s="80"/>
      <c r="Y6" s="80"/>
      <c r="Z6" s="80"/>
    </row>
    <row r="7" spans="1:26" ht="15.75" thickBot="1" x14ac:dyDescent="0.3">
      <c r="A7" s="80" t="s">
        <v>940</v>
      </c>
      <c r="B7" s="80" t="s">
        <v>937</v>
      </c>
      <c r="C7" s="80" t="str">
        <f>'Company Info, Intended Activity'!G2</f>
        <v>INC00005</v>
      </c>
      <c r="D7" s="80"/>
      <c r="E7" s="80"/>
      <c r="F7" s="80"/>
      <c r="G7" s="80"/>
      <c r="H7" s="80"/>
      <c r="I7" s="80"/>
      <c r="J7" s="80"/>
      <c r="K7" s="80"/>
      <c r="L7" s="80"/>
      <c r="M7" s="80"/>
      <c r="N7" s="80"/>
      <c r="O7" s="80"/>
      <c r="P7" s="80"/>
      <c r="Q7" s="80"/>
      <c r="R7" s="80"/>
      <c r="S7" s="80"/>
      <c r="T7" s="80"/>
      <c r="U7" s="80"/>
      <c r="V7" s="80"/>
      <c r="W7" s="80"/>
      <c r="X7" s="80"/>
      <c r="Y7" s="80"/>
      <c r="Z7" s="80"/>
    </row>
    <row r="8" spans="1:26" ht="15.75" thickBot="1" x14ac:dyDescent="0.3">
      <c r="A8" s="89" t="s">
        <v>940</v>
      </c>
      <c r="B8" s="90" t="s">
        <v>939</v>
      </c>
      <c r="C8" s="90" t="s">
        <v>940</v>
      </c>
      <c r="D8" s="91"/>
      <c r="E8" s="92"/>
      <c r="F8" s="80"/>
      <c r="G8" s="80"/>
      <c r="H8" s="80"/>
      <c r="I8" s="80"/>
      <c r="J8" s="80"/>
      <c r="K8" s="80"/>
      <c r="L8" s="80"/>
      <c r="M8" s="80"/>
      <c r="N8" s="80"/>
      <c r="O8" s="80"/>
      <c r="P8" s="80"/>
      <c r="Q8" s="80"/>
      <c r="R8" s="80"/>
      <c r="S8" s="80"/>
      <c r="T8" s="80"/>
      <c r="U8" s="80"/>
      <c r="V8" s="80"/>
      <c r="W8" s="80"/>
      <c r="X8" s="80"/>
      <c r="Y8" s="80"/>
      <c r="Z8" s="80"/>
    </row>
    <row r="9" spans="1:26" x14ac:dyDescent="0.25">
      <c r="A9" s="80" t="s">
        <v>940</v>
      </c>
      <c r="B9" s="93" t="str">
        <f>IF('Company Info, Intended Activity'!G5&lt;&gt;"",'Company Info, Intended Activity'!G5,"---")</f>
        <v>ContactPersonFullName</v>
      </c>
      <c r="C9" s="93" t="str">
        <f>IF('Company Info, Intended Activity'!C5&lt;&gt;"",'Company Info, Intended Activity'!C5,".N/A.")</f>
        <v>.N/A.</v>
      </c>
      <c r="D9" s="80"/>
      <c r="E9" s="80"/>
      <c r="F9" s="80"/>
      <c r="G9" s="80"/>
      <c r="H9" s="80"/>
      <c r="I9" s="80"/>
      <c r="J9" s="80"/>
      <c r="K9" s="80"/>
      <c r="L9" s="80"/>
      <c r="M9" s="80"/>
      <c r="N9" s="80"/>
      <c r="O9" s="80"/>
      <c r="P9" s="80"/>
      <c r="Q9" s="80"/>
      <c r="R9" s="80"/>
      <c r="S9" s="80"/>
      <c r="T9" s="80"/>
      <c r="U9" s="80"/>
      <c r="V9" s="80"/>
      <c r="W9" s="80"/>
      <c r="X9" s="80"/>
      <c r="Y9" s="80"/>
      <c r="Z9" s="80"/>
    </row>
    <row r="10" spans="1:26" x14ac:dyDescent="0.25">
      <c r="A10" s="80" t="s">
        <v>940</v>
      </c>
      <c r="B10" s="93" t="str">
        <f>IF('Company Info, Intended Activity'!G6&lt;&gt;"",'Company Info, Intended Activity'!G6,"---")</f>
        <v>ContactPersonTitle</v>
      </c>
      <c r="C10" s="93" t="str">
        <f>IF('Company Info, Intended Activity'!C6&lt;&gt;"",'Company Info, Intended Activity'!C6,".N/A.")</f>
        <v>.N/A.</v>
      </c>
      <c r="D10" s="80"/>
      <c r="E10" s="80"/>
      <c r="F10" s="80"/>
      <c r="G10" s="80"/>
      <c r="H10" s="80"/>
      <c r="I10" s="80"/>
      <c r="J10" s="80"/>
      <c r="K10" s="80"/>
      <c r="L10" s="80"/>
      <c r="M10" s="80"/>
      <c r="N10" s="80"/>
      <c r="O10" s="80"/>
      <c r="P10" s="80"/>
      <c r="Q10" s="80"/>
      <c r="R10" s="80"/>
      <c r="S10" s="80"/>
      <c r="T10" s="80"/>
      <c r="U10" s="80"/>
      <c r="V10" s="80"/>
      <c r="W10" s="80"/>
      <c r="X10" s="80"/>
      <c r="Y10" s="80"/>
      <c r="Z10" s="80"/>
    </row>
    <row r="11" spans="1:26" x14ac:dyDescent="0.25">
      <c r="A11" s="80" t="s">
        <v>940</v>
      </c>
      <c r="B11" s="93" t="str">
        <f>IF('Company Info, Intended Activity'!G7&lt;&gt;"",'Company Info, Intended Activity'!G7,"---")</f>
        <v>ContactPersonEmail</v>
      </c>
      <c r="C11" s="93" t="str">
        <f>IF('Company Info, Intended Activity'!C7&lt;&gt;"",'Company Info, Intended Activity'!C7,".N/A.")</f>
        <v>.N/A.</v>
      </c>
      <c r="D11" s="80"/>
      <c r="E11" s="80"/>
      <c r="F11" s="80"/>
      <c r="G11" s="80"/>
      <c r="H11" s="80"/>
      <c r="I11" s="80"/>
      <c r="J11" s="80"/>
      <c r="K11" s="80"/>
      <c r="L11" s="80"/>
      <c r="M11" s="80"/>
      <c r="N11" s="80"/>
      <c r="O11" s="80"/>
      <c r="P11" s="80"/>
      <c r="Q11" s="80"/>
      <c r="R11" s="80"/>
      <c r="S11" s="80"/>
      <c r="T11" s="80"/>
      <c r="U11" s="80"/>
      <c r="V11" s="80"/>
      <c r="W11" s="80"/>
      <c r="X11" s="80"/>
      <c r="Y11" s="80"/>
      <c r="Z11" s="80"/>
    </row>
    <row r="12" spans="1:26" x14ac:dyDescent="0.25">
      <c r="A12" s="80" t="s">
        <v>940</v>
      </c>
      <c r="B12" s="93" t="str">
        <f>IF('Company Info, Intended Activity'!G8&lt;&gt;"",'Company Info, Intended Activity'!G8,"---")</f>
        <v>ContactPersonPhone</v>
      </c>
      <c r="C12" s="93" t="str">
        <f>IF('Company Info, Intended Activity'!C8&lt;&gt;"",'Company Info, Intended Activity'!C8,".N/A.")</f>
        <v>.N/A.</v>
      </c>
      <c r="D12" s="80"/>
      <c r="E12" s="80"/>
      <c r="F12" s="80"/>
      <c r="G12" s="80"/>
      <c r="H12" s="80"/>
      <c r="I12" s="80"/>
      <c r="J12" s="80"/>
      <c r="K12" s="80"/>
      <c r="L12" s="80"/>
      <c r="M12" s="80"/>
      <c r="N12" s="80"/>
      <c r="O12" s="80"/>
      <c r="P12" s="80"/>
      <c r="Q12" s="80"/>
      <c r="R12" s="80"/>
      <c r="S12" s="80"/>
      <c r="T12" s="80"/>
      <c r="U12" s="80"/>
      <c r="V12" s="80"/>
      <c r="W12" s="80"/>
      <c r="X12" s="80"/>
      <c r="Y12" s="80"/>
      <c r="Z12" s="80"/>
    </row>
    <row r="13" spans="1:26" x14ac:dyDescent="0.25">
      <c r="A13" s="80" t="s">
        <v>940</v>
      </c>
      <c r="B13" s="93" t="str">
        <f>IF('Company Info, Intended Activity'!G9&lt;&gt;"",'Company Info, Intended Activity'!G9,"---")</f>
        <v>QuestValidityDate</v>
      </c>
      <c r="C13" s="121" t="str">
        <f>IF('Company Info, Intended Activity'!C9&lt;&gt;"",'Company Info, Intended Activity'!C9,".N/A.")</f>
        <v>.N/A.</v>
      </c>
      <c r="D13" s="80" t="e">
        <f>DAY(C13)</f>
        <v>#VALUE!</v>
      </c>
      <c r="E13" s="80" t="e">
        <f>MONTH(C13)</f>
        <v>#VALUE!</v>
      </c>
      <c r="F13" s="80" t="e">
        <f>YEAR(C13)</f>
        <v>#VALUE!</v>
      </c>
      <c r="G13" s="80"/>
      <c r="H13" s="80"/>
      <c r="I13" s="80"/>
      <c r="J13" s="80"/>
      <c r="K13" s="80"/>
      <c r="L13" s="80"/>
      <c r="M13" s="80"/>
      <c r="N13" s="80"/>
      <c r="O13" s="80"/>
      <c r="P13" s="80"/>
      <c r="Q13" s="80"/>
      <c r="R13" s="80"/>
      <c r="S13" s="80"/>
      <c r="T13" s="80"/>
      <c r="U13" s="80"/>
      <c r="V13" s="80"/>
      <c r="W13" s="80"/>
      <c r="X13" s="80"/>
      <c r="Y13" s="80"/>
      <c r="Z13" s="80"/>
    </row>
    <row r="14" spans="1:26" x14ac:dyDescent="0.25">
      <c r="A14" s="80" t="s">
        <v>940</v>
      </c>
      <c r="B14" s="93" t="str">
        <f>IF('Company Info, Intended Activity'!G11&lt;&gt;"",'Company Info, Intended Activity'!G11,"---")</f>
        <v>CompanyLegalName</v>
      </c>
      <c r="C14" s="93" t="str">
        <f>IF('Company Info, Intended Activity'!C11&lt;&gt;"",'Company Info, Intended Activity'!C11,".N/A.")</f>
        <v>.N/A.</v>
      </c>
      <c r="D14" s="80"/>
      <c r="E14" s="80"/>
      <c r="F14" s="80"/>
      <c r="G14" s="80"/>
      <c r="H14" s="80"/>
      <c r="I14" s="80"/>
      <c r="J14" s="80"/>
      <c r="K14" s="80"/>
      <c r="L14" s="80"/>
      <c r="M14" s="80"/>
      <c r="N14" s="80"/>
      <c r="O14" s="80"/>
      <c r="P14" s="80"/>
      <c r="Q14" s="80"/>
      <c r="R14" s="80"/>
      <c r="S14" s="80"/>
      <c r="T14" s="80"/>
      <c r="U14" s="80"/>
      <c r="V14" s="80"/>
      <c r="W14" s="80"/>
      <c r="X14" s="80"/>
      <c r="Y14" s="80"/>
      <c r="Z14" s="80"/>
    </row>
    <row r="15" spans="1:26" x14ac:dyDescent="0.25">
      <c r="A15" s="80" t="s">
        <v>940</v>
      </c>
      <c r="B15" s="93" t="str">
        <f>IF('Company Info, Intended Activity'!G12&lt;&gt;"",'Company Info, Intended Activity'!G12,"---")</f>
        <v>CompanyBusinessName</v>
      </c>
      <c r="C15" s="93" t="str">
        <f>IF('Company Info, Intended Activity'!C12&lt;&gt;"",'Company Info, Intended Activity'!C12,".N/A.")</f>
        <v>.N/A.</v>
      </c>
      <c r="D15" s="80"/>
      <c r="E15" s="80"/>
      <c r="F15" s="80"/>
      <c r="G15" s="80"/>
      <c r="H15" s="80"/>
      <c r="I15" s="80"/>
      <c r="J15" s="80"/>
      <c r="K15" s="80"/>
      <c r="L15" s="80"/>
      <c r="M15" s="80"/>
      <c r="N15" s="80"/>
      <c r="O15" s="80"/>
      <c r="P15" s="80"/>
      <c r="Q15" s="80"/>
      <c r="R15" s="80"/>
      <c r="S15" s="80"/>
      <c r="T15" s="80"/>
      <c r="U15" s="80"/>
      <c r="V15" s="80"/>
      <c r="W15" s="80"/>
      <c r="X15" s="80"/>
      <c r="Y15" s="80"/>
      <c r="Z15" s="80"/>
    </row>
    <row r="16" spans="1:26" x14ac:dyDescent="0.25">
      <c r="A16" s="80" t="s">
        <v>940</v>
      </c>
      <c r="B16" s="93" t="str">
        <f>IF('Company Info, Intended Activity'!G13&lt;&gt;"",'Company Info, Intended Activity'!G13,"---")</f>
        <v>CompanyRegisterNumber</v>
      </c>
      <c r="C16" s="93" t="str">
        <f>IF('Company Info, Intended Activity'!C13&lt;&gt;"",'Company Info, Intended Activity'!C13,".N/A.")</f>
        <v>.N/A.</v>
      </c>
      <c r="D16" s="80"/>
      <c r="E16" s="80"/>
      <c r="F16" s="80"/>
      <c r="G16" s="80"/>
      <c r="H16" s="80"/>
      <c r="I16" s="80"/>
      <c r="J16" s="80"/>
      <c r="K16" s="80"/>
      <c r="L16" s="80"/>
      <c r="M16" s="80"/>
      <c r="N16" s="80"/>
      <c r="O16" s="80"/>
      <c r="P16" s="80"/>
      <c r="Q16" s="80"/>
      <c r="R16" s="80"/>
      <c r="S16" s="80"/>
      <c r="T16" s="80"/>
      <c r="U16" s="80"/>
      <c r="V16" s="80"/>
      <c r="W16" s="80"/>
      <c r="X16" s="80"/>
      <c r="Y16" s="80"/>
      <c r="Z16" s="80"/>
    </row>
    <row r="17" spans="1:26" x14ac:dyDescent="0.25">
      <c r="A17" s="80" t="s">
        <v>940</v>
      </c>
      <c r="B17" s="93" t="str">
        <f>IF('Company Info, Intended Activity'!G14&lt;&gt;"",'Company Info, Intended Activity'!G14,"---")</f>
        <v>CompanyDateOfInc</v>
      </c>
      <c r="C17" s="121" t="str">
        <f>IF('Company Info, Intended Activity'!C14&lt;&gt;"",'Company Info, Intended Activity'!C14,".N/A.")</f>
        <v>.N/A.</v>
      </c>
      <c r="D17" s="80" t="e">
        <f>DAY(C17)</f>
        <v>#VALUE!</v>
      </c>
      <c r="E17" s="80" t="e">
        <f>MONTH(C17)</f>
        <v>#VALUE!</v>
      </c>
      <c r="F17" s="80" t="e">
        <f>YEAR(C17)</f>
        <v>#VALUE!</v>
      </c>
      <c r="G17" s="80"/>
      <c r="H17" s="80"/>
      <c r="I17" s="80"/>
      <c r="J17" s="80"/>
      <c r="K17" s="80"/>
      <c r="L17" s="80"/>
      <c r="M17" s="80"/>
      <c r="N17" s="80"/>
      <c r="O17" s="80"/>
      <c r="P17" s="80"/>
      <c r="Q17" s="80"/>
      <c r="R17" s="80"/>
      <c r="S17" s="80"/>
      <c r="T17" s="80"/>
      <c r="U17" s="80"/>
      <c r="V17" s="80"/>
      <c r="W17" s="80"/>
      <c r="X17" s="80"/>
      <c r="Y17" s="80"/>
      <c r="Z17" s="80"/>
    </row>
    <row r="18" spans="1:26" x14ac:dyDescent="0.25">
      <c r="A18" s="80" t="s">
        <v>940</v>
      </c>
      <c r="B18" s="93" t="str">
        <f>IF('Company Info, Intended Activity'!G15&lt;&gt;"",'Company Info, Intended Activity'!G15,"---")</f>
        <v>CompanyTaxID</v>
      </c>
      <c r="C18" s="93" t="str">
        <f>IF('Company Info, Intended Activity'!C15&lt;&gt;"",'Company Info, Intended Activity'!C15,".N/A.")</f>
        <v>.N/A.</v>
      </c>
      <c r="D18" s="80"/>
      <c r="E18" s="80"/>
      <c r="F18" s="80"/>
      <c r="G18" s="80"/>
      <c r="H18" s="80"/>
      <c r="I18" s="80"/>
      <c r="J18" s="80"/>
      <c r="K18" s="80"/>
      <c r="L18" s="80"/>
      <c r="M18" s="80"/>
      <c r="N18" s="80"/>
      <c r="O18" s="80"/>
      <c r="P18" s="80"/>
      <c r="Q18" s="80"/>
      <c r="R18" s="80"/>
      <c r="S18" s="80"/>
      <c r="T18" s="80"/>
      <c r="U18" s="80"/>
      <c r="V18" s="80"/>
      <c r="W18" s="80"/>
      <c r="X18" s="80"/>
      <c r="Y18" s="80"/>
      <c r="Z18" s="80"/>
    </row>
    <row r="19" spans="1:26" x14ac:dyDescent="0.25">
      <c r="A19" s="80" t="s">
        <v>940</v>
      </c>
      <c r="B19" s="93" t="str">
        <f>IF('Company Info, Intended Activity'!G16&lt;&gt;"",'Company Info, Intended Activity'!G16,"---")</f>
        <v>CompanyRegisterAddress</v>
      </c>
      <c r="C19" s="93" t="str">
        <f>IF('Company Info, Intended Activity'!C16&lt;&gt;"",'Company Info, Intended Activity'!C16,".N/A.")</f>
        <v>.N/A.</v>
      </c>
      <c r="D19" s="80"/>
      <c r="E19" s="80"/>
      <c r="F19" s="80"/>
      <c r="G19" s="80"/>
      <c r="H19" s="80"/>
      <c r="I19" s="80"/>
      <c r="J19" s="80"/>
      <c r="K19" s="80"/>
      <c r="L19" s="80"/>
      <c r="M19" s="80"/>
      <c r="N19" s="80"/>
      <c r="O19" s="80"/>
      <c r="P19" s="80"/>
      <c r="Q19" s="80"/>
      <c r="R19" s="80"/>
      <c r="S19" s="80"/>
      <c r="T19" s="80"/>
      <c r="U19" s="80"/>
      <c r="V19" s="80"/>
      <c r="W19" s="80"/>
      <c r="X19" s="80"/>
      <c r="Y19" s="80"/>
      <c r="Z19" s="80"/>
    </row>
    <row r="20" spans="1:26" x14ac:dyDescent="0.25">
      <c r="A20" s="80" t="s">
        <v>940</v>
      </c>
      <c r="B20" s="93" t="str">
        <f>IF('Company Info, Intended Activity'!G17&lt;&gt;"",'Company Info, Intended Activity'!G17,"---")</f>
        <v>CompanyCountryOfInc</v>
      </c>
      <c r="C20" s="93" t="str">
        <f>IF('Company Info, Intended Activity'!C17&lt;&gt;"",'Company Info, Intended Activity'!C17,".N/A.")</f>
        <v>.N/A.</v>
      </c>
      <c r="D20" s="80"/>
      <c r="E20" s="80"/>
      <c r="F20" s="80"/>
      <c r="G20" s="80"/>
      <c r="H20" s="80"/>
      <c r="I20" s="80"/>
      <c r="J20" s="80"/>
      <c r="K20" s="80"/>
      <c r="L20" s="80"/>
      <c r="M20" s="80"/>
      <c r="N20" s="80"/>
      <c r="O20" s="80"/>
      <c r="P20" s="80"/>
      <c r="Q20" s="80"/>
      <c r="R20" s="80"/>
      <c r="S20" s="80"/>
      <c r="T20" s="80"/>
      <c r="U20" s="80"/>
      <c r="V20" s="80"/>
      <c r="W20" s="80"/>
      <c r="X20" s="80"/>
      <c r="Y20" s="80"/>
      <c r="Z20" s="80"/>
    </row>
    <row r="21" spans="1:26" x14ac:dyDescent="0.25">
      <c r="A21" s="80" t="s">
        <v>940</v>
      </c>
      <c r="B21" s="93" t="str">
        <f>IF('Company Info, Intended Activity'!G18&lt;&gt;"",'Company Info, Intended Activity'!G18,"---")</f>
        <v>CompanyStateOfInc</v>
      </c>
      <c r="C21" s="93" t="str">
        <f>IF('Company Info, Intended Activity'!C18&lt;&gt;"",'Company Info, Intended Activity'!C18,".N/A.")</f>
        <v>.N/A.</v>
      </c>
      <c r="D21" s="80"/>
      <c r="E21" s="80"/>
      <c r="F21" s="80"/>
      <c r="G21" s="80"/>
      <c r="H21" s="80"/>
      <c r="I21" s="80"/>
      <c r="J21" s="80"/>
      <c r="K21" s="80"/>
      <c r="L21" s="80"/>
      <c r="M21" s="80"/>
      <c r="N21" s="80"/>
      <c r="O21" s="80"/>
      <c r="P21" s="80"/>
      <c r="Q21" s="80"/>
      <c r="R21" s="80"/>
      <c r="S21" s="80"/>
      <c r="T21" s="80"/>
      <c r="U21" s="80"/>
      <c r="V21" s="80"/>
      <c r="W21" s="80"/>
      <c r="X21" s="80"/>
      <c r="Y21" s="80"/>
      <c r="Z21" s="80"/>
    </row>
    <row r="22" spans="1:26" x14ac:dyDescent="0.25">
      <c r="A22" s="80" t="s">
        <v>940</v>
      </c>
      <c r="B22" s="93" t="str">
        <f>IF('Company Info, Intended Activity'!G19&lt;&gt;"",'Company Info, Intended Activity'!G19,"---")</f>
        <v>CompanyOfficeAddress</v>
      </c>
      <c r="C22" s="93" t="str">
        <f>IF('Company Info, Intended Activity'!C19&lt;&gt;"",'Company Info, Intended Activity'!C19,".N/A.")</f>
        <v>.N/A.</v>
      </c>
      <c r="D22" s="80"/>
      <c r="E22" s="80"/>
      <c r="F22" s="80"/>
      <c r="G22" s="80"/>
      <c r="H22" s="80"/>
      <c r="I22" s="80"/>
      <c r="J22" s="80"/>
      <c r="K22" s="80"/>
      <c r="L22" s="80"/>
      <c r="M22" s="80"/>
      <c r="N22" s="80"/>
      <c r="O22" s="80"/>
      <c r="P22" s="80"/>
      <c r="Q22" s="80"/>
      <c r="R22" s="80"/>
      <c r="S22" s="80"/>
      <c r="T22" s="80"/>
      <c r="U22" s="80"/>
      <c r="V22" s="80"/>
      <c r="W22" s="80"/>
      <c r="X22" s="80"/>
      <c r="Y22" s="80"/>
      <c r="Z22" s="80"/>
    </row>
    <row r="23" spans="1:26" x14ac:dyDescent="0.25">
      <c r="A23" s="80" t="s">
        <v>940</v>
      </c>
      <c r="B23" s="93" t="str">
        <f>IF('Company Info, Intended Activity'!G20&lt;&gt;"",'Company Info, Intended Activity'!G20,"---")</f>
        <v>CompanyPrincPlaceOfBus</v>
      </c>
      <c r="C23" s="93" t="str">
        <f>IF('Company Info, Intended Activity'!C20&lt;&gt;"",'Company Info, Intended Activity'!C20,".N/A.")</f>
        <v>.N/A.</v>
      </c>
      <c r="D23" s="80"/>
      <c r="E23" s="80"/>
      <c r="F23" s="80"/>
      <c r="G23" s="80"/>
      <c r="H23" s="80"/>
      <c r="I23" s="80"/>
      <c r="J23" s="80"/>
      <c r="K23" s="80"/>
      <c r="L23" s="80"/>
      <c r="M23" s="80"/>
      <c r="N23" s="80"/>
      <c r="O23" s="80"/>
      <c r="P23" s="80"/>
      <c r="Q23" s="80"/>
      <c r="R23" s="80"/>
      <c r="S23" s="80"/>
      <c r="T23" s="80"/>
      <c r="U23" s="80"/>
      <c r="V23" s="80"/>
      <c r="W23" s="80"/>
      <c r="X23" s="80"/>
      <c r="Y23" s="80"/>
      <c r="Z23" s="80"/>
    </row>
    <row r="24" spans="1:26" x14ac:dyDescent="0.25">
      <c r="A24" s="80" t="s">
        <v>940</v>
      </c>
      <c r="B24" s="93" t="str">
        <f>IF('Company Info, Intended Activity'!G21&lt;&gt;"",'Company Info, Intended Activity'!G21,"---")</f>
        <v>CompanyPrincPlaceState</v>
      </c>
      <c r="C24" s="93" t="str">
        <f>IF('Company Info, Intended Activity'!C21&lt;&gt;"",'Company Info, Intended Activity'!C21,".N/A.")</f>
        <v>.N/A.</v>
      </c>
      <c r="D24" s="80"/>
      <c r="E24" s="80"/>
      <c r="F24" s="80"/>
      <c r="G24" s="80"/>
      <c r="H24" s="80"/>
      <c r="I24" s="80"/>
      <c r="J24" s="80"/>
      <c r="K24" s="80"/>
      <c r="L24" s="80"/>
      <c r="M24" s="80"/>
      <c r="N24" s="80"/>
      <c r="O24" s="80"/>
      <c r="P24" s="80"/>
      <c r="Q24" s="80"/>
      <c r="R24" s="80"/>
      <c r="S24" s="80"/>
      <c r="T24" s="80"/>
      <c r="U24" s="80"/>
      <c r="V24" s="80"/>
      <c r="W24" s="80"/>
      <c r="X24" s="80"/>
      <c r="Y24" s="80"/>
      <c r="Z24" s="80"/>
    </row>
    <row r="25" spans="1:26" x14ac:dyDescent="0.25">
      <c r="A25" s="80" t="s">
        <v>940</v>
      </c>
      <c r="B25" s="93" t="str">
        <f>IF('Company Info, Intended Activity'!G22&lt;&gt;"",'Company Info, Intended Activity'!G22,"---")</f>
        <v>CompanyLegalType</v>
      </c>
      <c r="C25" s="93" t="str">
        <f>IF('Company Info, Intended Activity'!C22&lt;&gt;"",'Company Info, Intended Activity'!C22,".N/A.")</f>
        <v>.N/A.</v>
      </c>
      <c r="D25" s="80"/>
      <c r="E25" s="80"/>
      <c r="F25" s="80"/>
      <c r="G25" s="80"/>
      <c r="H25" s="80"/>
      <c r="I25" s="80"/>
      <c r="J25" s="80"/>
      <c r="K25" s="80"/>
      <c r="L25" s="80"/>
      <c r="M25" s="80"/>
      <c r="N25" s="80"/>
      <c r="O25" s="80"/>
      <c r="P25" s="80"/>
      <c r="Q25" s="80"/>
      <c r="R25" s="80"/>
      <c r="S25" s="80"/>
      <c r="T25" s="80"/>
      <c r="U25" s="80"/>
      <c r="V25" s="80"/>
      <c r="W25" s="80"/>
      <c r="X25" s="80"/>
      <c r="Y25" s="80"/>
      <c r="Z25" s="80"/>
    </row>
    <row r="26" spans="1:26" x14ac:dyDescent="0.25">
      <c r="A26" s="80" t="s">
        <v>940</v>
      </c>
      <c r="B26" s="93" t="str">
        <f>IF('Company Info, Intended Activity'!G23&lt;&gt;"",'Company Info, Intended Activity'!G23,"---")</f>
        <v>CompanyWebiste</v>
      </c>
      <c r="C26" s="93" t="str">
        <f>IF('Company Info, Intended Activity'!C23&lt;&gt;"",'Company Info, Intended Activity'!C23,".N/A.")</f>
        <v>.N/A.</v>
      </c>
      <c r="D26" s="80"/>
      <c r="E26" s="80"/>
      <c r="F26" s="80"/>
      <c r="G26" s="80"/>
      <c r="H26" s="80"/>
      <c r="I26" s="80"/>
      <c r="J26" s="80"/>
      <c r="K26" s="80"/>
      <c r="L26" s="80"/>
      <c r="M26" s="80"/>
      <c r="N26" s="80"/>
      <c r="O26" s="80"/>
      <c r="P26" s="80"/>
      <c r="Q26" s="80"/>
      <c r="R26" s="80"/>
      <c r="S26" s="80"/>
      <c r="T26" s="80"/>
      <c r="U26" s="80"/>
      <c r="V26" s="80"/>
      <c r="W26" s="80"/>
      <c r="X26" s="80"/>
      <c r="Y26" s="80"/>
      <c r="Z26" s="80"/>
    </row>
    <row r="27" spans="1:26" x14ac:dyDescent="0.25">
      <c r="A27" s="80" t="s">
        <v>940</v>
      </c>
      <c r="B27" s="93" t="str">
        <f>IF('Company Info, Intended Activity'!G25&lt;&gt;"",'Company Info, Intended Activity'!G25,"---")</f>
        <v>CompanyAccountType</v>
      </c>
      <c r="C27" s="93" t="str">
        <f>IF('Company Info, Intended Activity'!C25&lt;&gt;"",'Company Info, Intended Activity'!C25,".N/A.")</f>
        <v>.N/A.</v>
      </c>
      <c r="D27" s="80"/>
      <c r="E27" s="80"/>
      <c r="F27" s="80"/>
      <c r="G27" s="80"/>
      <c r="H27" s="80"/>
      <c r="I27" s="80"/>
      <c r="J27" s="80"/>
      <c r="K27" s="80"/>
      <c r="L27" s="80"/>
      <c r="M27" s="80"/>
      <c r="N27" s="80"/>
      <c r="O27" s="80"/>
      <c r="P27" s="80"/>
      <c r="Q27" s="80"/>
      <c r="R27" s="80"/>
      <c r="S27" s="80"/>
      <c r="T27" s="80"/>
      <c r="U27" s="80"/>
      <c r="V27" s="80"/>
      <c r="W27" s="80"/>
      <c r="X27" s="80"/>
      <c r="Y27" s="80"/>
      <c r="Z27" s="80"/>
    </row>
    <row r="28" spans="1:26" x14ac:dyDescent="0.25">
      <c r="A28" s="80" t="s">
        <v>940</v>
      </c>
      <c r="B28" s="93" t="str">
        <f>IF('Company Info, Intended Activity'!G26&lt;&gt;"",'Company Info, Intended Activity'!G26,"---")</f>
        <v>CompanyBusinessModel</v>
      </c>
      <c r="C28" s="93" t="str">
        <f>IF('Company Info, Intended Activity'!C26&lt;&gt;"",'Company Info, Intended Activity'!C26,".N/A.")</f>
        <v>.N/A.</v>
      </c>
      <c r="D28" s="80"/>
      <c r="E28" s="80"/>
      <c r="F28" s="80"/>
      <c r="G28" s="80"/>
      <c r="H28" s="80"/>
      <c r="I28" s="80"/>
      <c r="J28" s="80"/>
      <c r="K28" s="80"/>
      <c r="L28" s="80"/>
      <c r="M28" s="80"/>
      <c r="N28" s="80"/>
      <c r="O28" s="80"/>
      <c r="P28" s="80"/>
      <c r="Q28" s="80"/>
      <c r="R28" s="80"/>
      <c r="S28" s="80"/>
      <c r="T28" s="80"/>
      <c r="U28" s="80"/>
      <c r="V28" s="80"/>
      <c r="W28" s="80"/>
      <c r="X28" s="80"/>
      <c r="Y28" s="80"/>
      <c r="Z28" s="80"/>
    </row>
    <row r="29" spans="1:26" x14ac:dyDescent="0.25">
      <c r="A29" s="80" t="s">
        <v>940</v>
      </c>
      <c r="B29" s="93" t="str">
        <f>IF('Company Info, Intended Activity'!G27&lt;&gt;"",'Company Info, Intended Activity'!G27,"---")</f>
        <v>CompanyServiceDescription</v>
      </c>
      <c r="C29" s="93" t="str">
        <f>IF('Company Info, Intended Activity'!C27&lt;&gt;"",'Company Info, Intended Activity'!C27,".N/A.")</f>
        <v>.N/A.</v>
      </c>
      <c r="D29" s="80"/>
      <c r="E29" s="80"/>
      <c r="F29" s="80"/>
      <c r="G29" s="80"/>
      <c r="H29" s="80"/>
      <c r="I29" s="80"/>
      <c r="J29" s="80"/>
      <c r="K29" s="80"/>
      <c r="L29" s="80"/>
      <c r="M29" s="80"/>
      <c r="N29" s="80"/>
      <c r="O29" s="80"/>
      <c r="P29" s="80"/>
      <c r="Q29" s="80"/>
      <c r="R29" s="80"/>
      <c r="S29" s="80"/>
      <c r="T29" s="80"/>
      <c r="U29" s="80"/>
      <c r="V29" s="80"/>
      <c r="W29" s="80"/>
      <c r="X29" s="80"/>
      <c r="Y29" s="80"/>
      <c r="Z29" s="80"/>
    </row>
    <row r="30" spans="1:26" x14ac:dyDescent="0.25">
      <c r="A30" s="80" t="s">
        <v>940</v>
      </c>
      <c r="B30" s="93" t="str">
        <f>IF('Company Info, Intended Activity'!G28&lt;&gt;"",'Company Info, Intended Activity'!G28,"---")</f>
        <v>CompanyServiceAddInfo</v>
      </c>
      <c r="C30" s="93" t="str">
        <f>IF('Company Info, Intended Activity'!C28&lt;&gt;"",'Company Info, Intended Activity'!C28,".N/A.")</f>
        <v>.N/A.</v>
      </c>
      <c r="D30" s="80"/>
      <c r="E30" s="80"/>
      <c r="F30" s="80"/>
      <c r="G30" s="80"/>
      <c r="H30" s="80"/>
      <c r="I30" s="80"/>
      <c r="J30" s="80"/>
      <c r="K30" s="80"/>
      <c r="L30" s="80"/>
      <c r="M30" s="80"/>
      <c r="N30" s="80"/>
      <c r="O30" s="80"/>
      <c r="P30" s="80"/>
      <c r="Q30" s="80"/>
      <c r="R30" s="80"/>
      <c r="S30" s="80"/>
      <c r="T30" s="80"/>
      <c r="U30" s="80"/>
      <c r="V30" s="80"/>
      <c r="W30" s="80"/>
      <c r="X30" s="80"/>
      <c r="Y30" s="80"/>
      <c r="Z30" s="80"/>
    </row>
    <row r="31" spans="1:26" x14ac:dyDescent="0.25">
      <c r="A31" s="80" t="s">
        <v>940</v>
      </c>
      <c r="B31" s="93" t="str">
        <f>IF('Company Info, Intended Activity'!G30&lt;&gt;"",'Company Info, Intended Activity'!G30,"---")</f>
        <v>CompanySupervAuth</v>
      </c>
      <c r="C31" s="93" t="str">
        <f>IF('Company Info, Intended Activity'!C30&lt;&gt;"",'Company Info, Intended Activity'!C30,".N/A.")</f>
        <v>.N/A.</v>
      </c>
      <c r="D31" s="80"/>
      <c r="E31" s="80"/>
      <c r="F31" s="80"/>
      <c r="G31" s="80"/>
      <c r="H31" s="80"/>
      <c r="I31" s="80"/>
      <c r="J31" s="80"/>
      <c r="K31" s="80"/>
      <c r="L31" s="80"/>
      <c r="M31" s="80"/>
      <c r="N31" s="80"/>
      <c r="O31" s="80"/>
      <c r="P31" s="80"/>
      <c r="Q31" s="80"/>
      <c r="R31" s="80"/>
      <c r="S31" s="80"/>
      <c r="T31" s="80"/>
      <c r="U31" s="80"/>
      <c r="V31" s="80"/>
      <c r="W31" s="80"/>
      <c r="X31" s="80"/>
      <c r="Y31" s="80"/>
      <c r="Z31" s="80"/>
    </row>
    <row r="32" spans="1:26" x14ac:dyDescent="0.25">
      <c r="A32" s="80" t="s">
        <v>940</v>
      </c>
      <c r="B32" s="93" t="str">
        <f>IF('Company Info, Intended Activity'!G31&lt;&gt;"",'Company Info, Intended Activity'!G31,"---")</f>
        <v>CompanyLinkToPublicDB</v>
      </c>
      <c r="C32" s="93" t="str">
        <f>IF('Company Info, Intended Activity'!C31&lt;&gt;"",'Company Info, Intended Activity'!C31,".N/A.")</f>
        <v>.N/A.</v>
      </c>
      <c r="D32" s="80"/>
      <c r="E32" s="80"/>
      <c r="F32" s="80"/>
      <c r="G32" s="80"/>
      <c r="H32" s="80"/>
      <c r="I32" s="80"/>
      <c r="J32" s="80"/>
      <c r="K32" s="80"/>
      <c r="L32" s="80"/>
      <c r="M32" s="80"/>
      <c r="N32" s="80"/>
      <c r="O32" s="80"/>
      <c r="P32" s="80"/>
      <c r="Q32" s="80"/>
      <c r="R32" s="80"/>
      <c r="S32" s="80"/>
      <c r="T32" s="80"/>
      <c r="U32" s="80"/>
      <c r="V32" s="80"/>
      <c r="W32" s="80"/>
      <c r="X32" s="80"/>
      <c r="Y32" s="80"/>
      <c r="Z32" s="80"/>
    </row>
    <row r="33" spans="1:26" x14ac:dyDescent="0.25">
      <c r="A33" s="80" t="s">
        <v>940</v>
      </c>
      <c r="B33" s="93" t="str">
        <f>IF('Company Info, Intended Activity'!G32&lt;&gt;"",'Company Info, Intended Activity'!G32,"---")</f>
        <v>CompanyRegulatoryAddInfo</v>
      </c>
      <c r="C33" s="93" t="str">
        <f>IF('Company Info, Intended Activity'!C32&lt;&gt;"",'Company Info, Intended Activity'!C32,".N/A.")</f>
        <v>.N/A.</v>
      </c>
      <c r="D33" s="80"/>
      <c r="E33" s="80"/>
      <c r="F33" s="80"/>
      <c r="G33" s="80"/>
      <c r="H33" s="80"/>
      <c r="I33" s="80"/>
      <c r="J33" s="80"/>
      <c r="K33" s="80"/>
      <c r="L33" s="80"/>
      <c r="M33" s="80"/>
      <c r="N33" s="80"/>
      <c r="O33" s="80"/>
      <c r="P33" s="80"/>
      <c r="Q33" s="80"/>
      <c r="R33" s="80"/>
      <c r="S33" s="80"/>
      <c r="T33" s="80"/>
      <c r="U33" s="80"/>
      <c r="V33" s="80"/>
      <c r="W33" s="80"/>
      <c r="X33" s="80"/>
      <c r="Y33" s="80"/>
      <c r="Z33" s="80"/>
    </row>
    <row r="34" spans="1:26" x14ac:dyDescent="0.25">
      <c r="A34" s="80" t="s">
        <v>940</v>
      </c>
      <c r="B34" s="93" t="str">
        <f>IF('Company Info, Intended Activity'!G34&lt;&gt;"",'Company Info, Intended Activity'!G34,"---")</f>
        <v>CompanySourceOfFunds</v>
      </c>
      <c r="C34" s="93" t="str">
        <f>IF('Company Info, Intended Activity'!C34&lt;&gt;"",'Company Info, Intended Activity'!C34,".N/A.")</f>
        <v>.N/A.</v>
      </c>
      <c r="D34" s="80"/>
      <c r="E34" s="80"/>
      <c r="F34" s="80"/>
      <c r="G34" s="80"/>
      <c r="H34" s="80"/>
      <c r="I34" s="80"/>
      <c r="J34" s="80"/>
      <c r="K34" s="80"/>
      <c r="L34" s="80"/>
      <c r="M34" s="80"/>
      <c r="N34" s="80"/>
      <c r="O34" s="80"/>
      <c r="P34" s="80"/>
      <c r="Q34" s="80"/>
      <c r="R34" s="80"/>
      <c r="S34" s="80"/>
      <c r="T34" s="80"/>
      <c r="U34" s="80"/>
      <c r="V34" s="80"/>
      <c r="W34" s="80"/>
      <c r="X34" s="80"/>
      <c r="Y34" s="80"/>
      <c r="Z34" s="80"/>
    </row>
    <row r="35" spans="1:26" x14ac:dyDescent="0.25">
      <c r="A35" s="80" t="s">
        <v>940</v>
      </c>
      <c r="B35" s="93" t="str">
        <f>IF('Company Info, Intended Activity'!G35&lt;&gt;"",'Company Info, Intended Activity'!G35,"---")</f>
        <v>IntendedOnBehalfOfOth</v>
      </c>
      <c r="C35" s="93" t="str">
        <f>IF('Company Info, Intended Activity'!C35&lt;&gt;"",'Company Info, Intended Activity'!C35,".N/A.")</f>
        <v>.N/A.</v>
      </c>
      <c r="D35" s="80"/>
      <c r="E35" s="80"/>
      <c r="F35" s="80"/>
      <c r="G35" s="80"/>
      <c r="H35" s="80"/>
      <c r="I35" s="80"/>
      <c r="J35" s="80"/>
      <c r="K35" s="80"/>
      <c r="L35" s="80"/>
      <c r="M35" s="80"/>
      <c r="N35" s="80"/>
      <c r="O35" s="80"/>
      <c r="P35" s="80"/>
      <c r="Q35" s="80"/>
      <c r="R35" s="80"/>
      <c r="S35" s="80"/>
      <c r="T35" s="80"/>
      <c r="U35" s="80"/>
      <c r="V35" s="80"/>
      <c r="W35" s="80"/>
      <c r="X35" s="80"/>
      <c r="Y35" s="80"/>
      <c r="Z35" s="80"/>
    </row>
    <row r="36" spans="1:26" x14ac:dyDescent="0.25">
      <c r="A36" s="80" t="s">
        <v>940</v>
      </c>
      <c r="B36" s="93" t="str">
        <f>IF('Company Info, Intended Activity'!G36&lt;&gt;"",'Company Info, Intended Activity'!G36,"---")</f>
        <v>IntendedAccPurposePrimary</v>
      </c>
      <c r="C36" s="93" t="str">
        <f>IF('Company Info, Intended Activity'!C36&lt;&gt;"",'Company Info, Intended Activity'!C36,".N/A.")</f>
        <v>.N/A.</v>
      </c>
      <c r="D36" s="80"/>
      <c r="E36" s="80"/>
      <c r="F36" s="80"/>
      <c r="G36" s="80"/>
      <c r="H36" s="80"/>
      <c r="I36" s="80"/>
      <c r="J36" s="80"/>
      <c r="K36" s="80"/>
      <c r="L36" s="80"/>
      <c r="M36" s="80"/>
      <c r="N36" s="80"/>
      <c r="O36" s="80"/>
      <c r="P36" s="80"/>
      <c r="Q36" s="80"/>
      <c r="R36" s="80"/>
      <c r="S36" s="80"/>
      <c r="T36" s="80"/>
      <c r="U36" s="80"/>
      <c r="V36" s="80"/>
      <c r="W36" s="80"/>
      <c r="X36" s="80"/>
      <c r="Y36" s="80"/>
      <c r="Z36" s="80"/>
    </row>
    <row r="37" spans="1:26" x14ac:dyDescent="0.25">
      <c r="A37" s="80" t="s">
        <v>940</v>
      </c>
      <c r="B37" s="93" t="str">
        <f>IF('Company Info, Intended Activity'!G37&lt;&gt;"",'Company Info, Intended Activity'!G37,"---")</f>
        <v>IntendedAccPurposeSecondary</v>
      </c>
      <c r="C37" s="93" t="str">
        <f>IF('Company Info, Intended Activity'!C37&lt;&gt;"",'Company Info, Intended Activity'!C37,".N/A.")</f>
        <v>.N/A.</v>
      </c>
      <c r="D37" s="80"/>
      <c r="E37" s="80"/>
      <c r="F37" s="80"/>
      <c r="G37" s="80"/>
      <c r="H37" s="80"/>
      <c r="I37" s="80"/>
      <c r="J37" s="80"/>
      <c r="K37" s="80"/>
      <c r="L37" s="80"/>
      <c r="M37" s="80"/>
      <c r="N37" s="80"/>
      <c r="O37" s="80"/>
      <c r="P37" s="80"/>
      <c r="Q37" s="80"/>
      <c r="R37" s="80"/>
      <c r="S37" s="80"/>
      <c r="T37" s="80"/>
      <c r="U37" s="80"/>
      <c r="V37" s="80"/>
      <c r="W37" s="80"/>
      <c r="X37" s="80"/>
      <c r="Y37" s="80"/>
      <c r="Z37" s="80"/>
    </row>
    <row r="38" spans="1:26" x14ac:dyDescent="0.25">
      <c r="A38" s="80" t="s">
        <v>940</v>
      </c>
      <c r="B38" s="93" t="str">
        <f>IF('Company Info, Intended Activity'!G38&lt;&gt;"",'Company Info, Intended Activity'!G38,"---")</f>
        <v>IntendedAccPurposeTertiary</v>
      </c>
      <c r="C38" s="93" t="str">
        <f>IF('Company Info, Intended Activity'!C38&lt;&gt;"",'Company Info, Intended Activity'!C38,".N/A.")</f>
        <v>.N/A.</v>
      </c>
      <c r="D38" s="80"/>
      <c r="E38" s="80"/>
      <c r="F38" s="80"/>
      <c r="G38" s="80"/>
      <c r="H38" s="80"/>
      <c r="I38" s="80"/>
      <c r="J38" s="80"/>
      <c r="K38" s="80"/>
      <c r="L38" s="80"/>
      <c r="M38" s="80"/>
      <c r="N38" s="80"/>
      <c r="O38" s="80"/>
      <c r="P38" s="80"/>
      <c r="Q38" s="80"/>
      <c r="R38" s="80"/>
      <c r="S38" s="80"/>
      <c r="T38" s="80"/>
      <c r="U38" s="80"/>
      <c r="V38" s="80"/>
      <c r="W38" s="80"/>
      <c r="X38" s="80"/>
      <c r="Y38" s="80"/>
      <c r="Z38" s="80"/>
    </row>
    <row r="39" spans="1:26" x14ac:dyDescent="0.25">
      <c r="A39" s="80" t="s">
        <v>940</v>
      </c>
      <c r="B39" s="93" t="str">
        <f>IF('Company Info, Intended Activity'!G39&lt;&gt;"",'Company Info, Intended Activity'!G39,"---")</f>
        <v>IntendedAccPurpDesc</v>
      </c>
      <c r="C39" s="93" t="str">
        <f>IF('Company Info, Intended Activity'!C39&lt;&gt;"",'Company Info, Intended Activity'!C39,".N/A.")</f>
        <v>.N/A.</v>
      </c>
      <c r="D39" s="80"/>
      <c r="E39" s="80"/>
      <c r="F39" s="80"/>
      <c r="G39" s="80"/>
      <c r="H39" s="80"/>
      <c r="I39" s="80"/>
      <c r="J39" s="80"/>
      <c r="K39" s="80"/>
      <c r="L39" s="80"/>
      <c r="M39" s="80"/>
      <c r="N39" s="80"/>
      <c r="O39" s="80"/>
      <c r="P39" s="80"/>
      <c r="Q39" s="80"/>
      <c r="R39" s="80"/>
      <c r="S39" s="80"/>
      <c r="T39" s="80"/>
      <c r="U39" s="80"/>
      <c r="V39" s="80"/>
      <c r="W39" s="80"/>
      <c r="X39" s="80"/>
      <c r="Y39" s="80"/>
      <c r="Z39" s="80"/>
    </row>
    <row r="40" spans="1:26" x14ac:dyDescent="0.25">
      <c r="A40" s="80" t="s">
        <v>940</v>
      </c>
      <c r="B40" s="93" t="str">
        <f>IF('Company Info, Intended Activity'!G40&lt;&gt;"",'Company Info, Intended Activity'!G40,"---")</f>
        <v>EstAmtDepositPerYearFiat</v>
      </c>
      <c r="C40" s="93" t="str">
        <f>IF('Company Info, Intended Activity'!C40&lt;&gt;"",'Company Info, Intended Activity'!C40,".N/A.")</f>
        <v>.N/A.</v>
      </c>
      <c r="D40" s="80"/>
      <c r="E40" s="80"/>
      <c r="F40" s="80"/>
      <c r="G40" s="80"/>
      <c r="H40" s="80"/>
      <c r="I40" s="80"/>
      <c r="J40" s="80"/>
      <c r="K40" s="80"/>
      <c r="L40" s="80"/>
      <c r="M40" s="80"/>
      <c r="N40" s="80"/>
      <c r="O40" s="80"/>
      <c r="P40" s="80"/>
      <c r="Q40" s="80"/>
      <c r="R40" s="80"/>
      <c r="S40" s="80"/>
      <c r="T40" s="80"/>
      <c r="U40" s="80"/>
      <c r="V40" s="80"/>
      <c r="W40" s="80"/>
      <c r="X40" s="80"/>
      <c r="Y40" s="80"/>
      <c r="Z40" s="80"/>
    </row>
    <row r="41" spans="1:26" x14ac:dyDescent="0.25">
      <c r="A41" s="80" t="s">
        <v>940</v>
      </c>
      <c r="B41" s="93" t="str">
        <f>IF('Company Info, Intended Activity'!G41&lt;&gt;"",'Company Info, Intended Activity'!G41,"---")</f>
        <v>EstAmtDepositPerYearCrypto</v>
      </c>
      <c r="C41" s="93" t="str">
        <f>IF('Company Info, Intended Activity'!C41&lt;&gt;"",'Company Info, Intended Activity'!C41,".N/A.")</f>
        <v>.N/A.</v>
      </c>
      <c r="D41" s="80"/>
      <c r="E41" s="80"/>
      <c r="F41" s="80"/>
      <c r="G41" s="80"/>
      <c r="H41" s="80"/>
      <c r="I41" s="80"/>
      <c r="J41" s="80"/>
      <c r="K41" s="80"/>
      <c r="L41" s="80"/>
      <c r="M41" s="80"/>
      <c r="N41" s="80"/>
      <c r="O41" s="80"/>
      <c r="P41" s="80"/>
      <c r="Q41" s="80"/>
      <c r="R41" s="80"/>
      <c r="S41" s="80"/>
      <c r="T41" s="80"/>
      <c r="U41" s="80"/>
      <c r="V41" s="80"/>
      <c r="W41" s="80"/>
      <c r="X41" s="80"/>
      <c r="Y41" s="80"/>
      <c r="Z41" s="80"/>
    </row>
    <row r="42" spans="1:26" x14ac:dyDescent="0.25">
      <c r="A42" s="80" t="s">
        <v>940</v>
      </c>
      <c r="B42" s="93" t="str">
        <f>IF('Company Info, Intended Activity'!G42&lt;&gt;"",'Company Info, Intended Activity'!G42,"---")</f>
        <v>EstNumDepositPerYearFiat</v>
      </c>
      <c r="C42" s="93" t="str">
        <f>IF('Company Info, Intended Activity'!C42&lt;&gt;"",'Company Info, Intended Activity'!C42,".N/A.")</f>
        <v>.N/A.</v>
      </c>
      <c r="D42" s="80"/>
      <c r="E42" s="80"/>
      <c r="F42" s="80"/>
      <c r="G42" s="80"/>
      <c r="H42" s="80"/>
      <c r="I42" s="80"/>
      <c r="J42" s="80"/>
      <c r="K42" s="80"/>
      <c r="L42" s="80"/>
      <c r="M42" s="80"/>
      <c r="N42" s="80"/>
      <c r="O42" s="80"/>
      <c r="P42" s="80"/>
      <c r="Q42" s="80"/>
      <c r="R42" s="80"/>
      <c r="S42" s="80"/>
      <c r="T42" s="80"/>
      <c r="U42" s="80"/>
      <c r="V42" s="80"/>
      <c r="W42" s="80"/>
      <c r="X42" s="80"/>
      <c r="Y42" s="80"/>
      <c r="Z42" s="80"/>
    </row>
    <row r="43" spans="1:26" x14ac:dyDescent="0.25">
      <c r="A43" s="80" t="s">
        <v>940</v>
      </c>
      <c r="B43" s="93" t="str">
        <f>IF('Company Info, Intended Activity'!G43&lt;&gt;"",'Company Info, Intended Activity'!G43,"---")</f>
        <v>EstNumDepositPerYearCrypto</v>
      </c>
      <c r="C43" s="93" t="str">
        <f>IF('Company Info, Intended Activity'!C43&lt;&gt;"",'Company Info, Intended Activity'!C43,".N/A.")</f>
        <v>.N/A.</v>
      </c>
      <c r="D43" s="80"/>
      <c r="E43" s="80"/>
      <c r="F43" s="80"/>
      <c r="G43" s="80"/>
      <c r="H43" s="80"/>
      <c r="I43" s="80"/>
      <c r="J43" s="80"/>
      <c r="K43" s="80"/>
      <c r="L43" s="80"/>
      <c r="M43" s="80"/>
      <c r="N43" s="80"/>
      <c r="O43" s="80"/>
      <c r="P43" s="80"/>
      <c r="Q43" s="80"/>
      <c r="R43" s="80"/>
      <c r="S43" s="80"/>
      <c r="T43" s="80"/>
      <c r="U43" s="80"/>
      <c r="V43" s="80"/>
      <c r="W43" s="80"/>
      <c r="X43" s="80"/>
      <c r="Y43" s="80"/>
      <c r="Z43" s="80"/>
    </row>
    <row r="44" spans="1:26" x14ac:dyDescent="0.25">
      <c r="A44" s="80" t="s">
        <v>940</v>
      </c>
      <c r="B44" s="93" t="str">
        <f>IF('Company Info, Intended Activity'!G44&lt;&gt;"",'Company Info, Intended Activity'!G44,"---")</f>
        <v>EstAmtWithdrPerYearFiat</v>
      </c>
      <c r="C44" s="93" t="str">
        <f>IF('Company Info, Intended Activity'!C44&lt;&gt;"",'Company Info, Intended Activity'!C44,".N/A.")</f>
        <v>.N/A.</v>
      </c>
      <c r="D44" s="80"/>
      <c r="E44" s="80"/>
      <c r="F44" s="80"/>
      <c r="G44" s="80"/>
      <c r="H44" s="80"/>
      <c r="I44" s="80"/>
      <c r="J44" s="80"/>
      <c r="K44" s="80"/>
      <c r="L44" s="80"/>
      <c r="M44" s="80"/>
      <c r="N44" s="80"/>
      <c r="O44" s="80"/>
      <c r="P44" s="80"/>
      <c r="Q44" s="80"/>
      <c r="R44" s="80"/>
      <c r="S44" s="80"/>
      <c r="T44" s="80"/>
      <c r="U44" s="80"/>
      <c r="V44" s="80"/>
      <c r="W44" s="80"/>
      <c r="X44" s="80"/>
      <c r="Y44" s="80"/>
      <c r="Z44" s="80"/>
    </row>
    <row r="45" spans="1:26" x14ac:dyDescent="0.25">
      <c r="A45" s="80" t="s">
        <v>940</v>
      </c>
      <c r="B45" s="93" t="str">
        <f>IF('Company Info, Intended Activity'!G45&lt;&gt;"",'Company Info, Intended Activity'!G45,"---")</f>
        <v>EstAmtWithdrPerYearCrypto</v>
      </c>
      <c r="C45" s="93" t="str">
        <f>IF('Company Info, Intended Activity'!C45&lt;&gt;"",'Company Info, Intended Activity'!C45,".N/A.")</f>
        <v>.N/A.</v>
      </c>
      <c r="D45" s="80"/>
      <c r="E45" s="80"/>
      <c r="F45" s="80"/>
      <c r="G45" s="80"/>
      <c r="H45" s="80"/>
      <c r="I45" s="80"/>
      <c r="J45" s="80"/>
      <c r="K45" s="80"/>
      <c r="L45" s="80"/>
      <c r="M45" s="80"/>
      <c r="N45" s="80"/>
      <c r="O45" s="80"/>
      <c r="P45" s="80"/>
      <c r="Q45" s="80"/>
      <c r="R45" s="80"/>
      <c r="S45" s="80"/>
      <c r="T45" s="80"/>
      <c r="U45" s="80"/>
      <c r="V45" s="80"/>
      <c r="W45" s="80"/>
      <c r="X45" s="80"/>
      <c r="Y45" s="80"/>
      <c r="Z45" s="80"/>
    </row>
    <row r="46" spans="1:26" x14ac:dyDescent="0.25">
      <c r="A46" s="80" t="s">
        <v>940</v>
      </c>
      <c r="B46" s="93" t="str">
        <f>IF('Company Info, Intended Activity'!G46&lt;&gt;"",'Company Info, Intended Activity'!G46,"---")</f>
        <v>EstNumWithdrPerYearFiat</v>
      </c>
      <c r="C46" s="93" t="str">
        <f>IF('Company Info, Intended Activity'!C46&lt;&gt;"",'Company Info, Intended Activity'!C46,".N/A.")</f>
        <v>.N/A.</v>
      </c>
      <c r="D46" s="80"/>
      <c r="E46" s="80"/>
      <c r="F46" s="80"/>
      <c r="G46" s="80"/>
      <c r="H46" s="80"/>
      <c r="I46" s="80"/>
      <c r="J46" s="80"/>
      <c r="K46" s="80"/>
      <c r="L46" s="80"/>
      <c r="M46" s="80"/>
      <c r="N46" s="80"/>
      <c r="O46" s="80"/>
      <c r="P46" s="80"/>
      <c r="Q46" s="80"/>
      <c r="R46" s="80"/>
      <c r="S46" s="80"/>
      <c r="T46" s="80"/>
      <c r="U46" s="80"/>
      <c r="V46" s="80"/>
      <c r="W46" s="80"/>
      <c r="X46" s="80"/>
      <c r="Y46" s="80"/>
      <c r="Z46" s="80"/>
    </row>
    <row r="47" spans="1:26" x14ac:dyDescent="0.25">
      <c r="A47" s="80" t="s">
        <v>940</v>
      </c>
      <c r="B47" s="93" t="str">
        <f>IF('Company Info, Intended Activity'!G47&lt;&gt;"",'Company Info, Intended Activity'!G47,"---")</f>
        <v>EstNumWithdrPerYearCrypto</v>
      </c>
      <c r="C47" s="93" t="str">
        <f>IF('Company Info, Intended Activity'!C47&lt;&gt;"",'Company Info, Intended Activity'!C47,".N/A.")</f>
        <v>.N/A.</v>
      </c>
      <c r="D47" s="80"/>
      <c r="E47" s="80"/>
      <c r="F47" s="80"/>
      <c r="G47" s="80"/>
      <c r="H47" s="80"/>
      <c r="I47" s="80"/>
      <c r="J47" s="80"/>
      <c r="K47" s="80"/>
      <c r="L47" s="80"/>
      <c r="M47" s="80"/>
      <c r="N47" s="80"/>
      <c r="O47" s="80"/>
      <c r="P47" s="80"/>
      <c r="Q47" s="80"/>
      <c r="R47" s="80"/>
      <c r="S47" s="80"/>
      <c r="T47" s="80"/>
      <c r="U47" s="80"/>
      <c r="V47" s="80"/>
      <c r="W47" s="80"/>
      <c r="X47" s="80"/>
      <c r="Y47" s="80"/>
      <c r="Z47" s="80"/>
    </row>
    <row r="48" spans="1:26" ht="15.75" thickBot="1" x14ac:dyDescent="0.3">
      <c r="A48" s="80" t="s">
        <v>940</v>
      </c>
      <c r="B48" s="93" t="str">
        <f>IF('Company Info, Intended Activity'!G48&lt;&gt;"",'Company Info, Intended Activity'!G48,"---")</f>
        <v>AddInfoOnIntendedAct</v>
      </c>
      <c r="C48" s="93" t="str">
        <f>IF('Company Info, Intended Activity'!C48&lt;&gt;"",'Company Info, Intended Activity'!C48,".N/A.")</f>
        <v>.N/A.</v>
      </c>
      <c r="D48" s="80"/>
      <c r="E48" s="80"/>
      <c r="F48" s="80"/>
      <c r="G48" s="80"/>
      <c r="H48" s="80"/>
      <c r="I48" s="80"/>
      <c r="J48" s="80"/>
      <c r="K48" s="80"/>
      <c r="L48" s="80"/>
      <c r="M48" s="80"/>
      <c r="N48" s="80"/>
      <c r="O48" s="80"/>
      <c r="P48" s="80"/>
      <c r="Q48" s="80"/>
      <c r="R48" s="80"/>
      <c r="S48" s="80"/>
      <c r="T48" s="80"/>
      <c r="U48" s="80"/>
      <c r="V48" s="80"/>
      <c r="W48" s="80"/>
      <c r="X48" s="80"/>
      <c r="Y48" s="80"/>
      <c r="Z48" s="80"/>
    </row>
    <row r="49" spans="1:26" ht="15.75" thickBot="1" x14ac:dyDescent="0.3">
      <c r="A49" s="89" t="s">
        <v>595</v>
      </c>
      <c r="B49" s="94" t="s">
        <v>939</v>
      </c>
      <c r="C49" s="94" t="s">
        <v>595</v>
      </c>
      <c r="D49" s="90"/>
      <c r="E49" s="95"/>
      <c r="F49" s="80"/>
      <c r="G49" s="80"/>
      <c r="H49" s="80"/>
      <c r="I49" s="80"/>
      <c r="J49" s="80"/>
      <c r="K49" s="80"/>
      <c r="L49" s="80"/>
      <c r="M49" s="80"/>
      <c r="N49" s="80"/>
      <c r="O49" s="80"/>
      <c r="P49" s="80"/>
      <c r="Q49" s="80"/>
      <c r="R49" s="80"/>
      <c r="S49" s="80"/>
      <c r="T49" s="80"/>
      <c r="U49" s="80"/>
      <c r="V49" s="80"/>
      <c r="W49" s="80"/>
      <c r="X49" s="80"/>
      <c r="Y49" s="80"/>
      <c r="Z49" s="80"/>
    </row>
    <row r="50" spans="1:26" x14ac:dyDescent="0.25">
      <c r="A50" s="80" t="s">
        <v>595</v>
      </c>
      <c r="B50" s="93" t="str">
        <f>IF('Sanctions and AML Information'!G6&lt;&gt;"",'Sanctions and AML Information'!G6,"---")</f>
        <v>ActOrServGambling</v>
      </c>
      <c r="C50" s="93" t="str">
        <f>IF('Sanctions and AML Information'!C6&lt;&gt;"",'Sanctions and AML Information'!C6,".N/A.")</f>
        <v>.N/A.</v>
      </c>
      <c r="D50" s="80"/>
      <c r="E50" s="80"/>
      <c r="F50" s="80"/>
      <c r="G50" s="80"/>
      <c r="H50" s="80"/>
      <c r="I50" s="80"/>
      <c r="J50" s="80"/>
      <c r="K50" s="80"/>
      <c r="L50" s="80"/>
      <c r="M50" s="80"/>
      <c r="N50" s="80"/>
      <c r="O50" s="80"/>
      <c r="P50" s="80"/>
      <c r="Q50" s="80"/>
      <c r="R50" s="80"/>
      <c r="S50" s="80"/>
      <c r="T50" s="80"/>
      <c r="U50" s="80"/>
      <c r="V50" s="80"/>
      <c r="W50" s="80"/>
      <c r="X50" s="80"/>
      <c r="Y50" s="80"/>
      <c r="Z50" s="80"/>
    </row>
    <row r="51" spans="1:26" x14ac:dyDescent="0.25">
      <c r="A51" s="80" t="s">
        <v>595</v>
      </c>
      <c r="B51" s="93" t="str">
        <f>IF('Sanctions and AML Information'!G7&lt;&gt;"",'Sanctions and AML Information'!G7,"---")</f>
        <v>ActOrServAdult</v>
      </c>
      <c r="C51" s="93" t="str">
        <f>IF('Sanctions and AML Information'!C7&lt;&gt;"",'Sanctions and AML Information'!C7,".N/A.")</f>
        <v>.N/A.</v>
      </c>
      <c r="D51" s="80"/>
      <c r="E51" s="80"/>
      <c r="F51" s="80"/>
      <c r="G51" s="80"/>
      <c r="H51" s="80"/>
      <c r="I51" s="80"/>
      <c r="J51" s="80"/>
      <c r="K51" s="80"/>
      <c r="L51" s="80"/>
      <c r="M51" s="80"/>
      <c r="N51" s="80"/>
      <c r="O51" s="80"/>
      <c r="P51" s="80"/>
      <c r="Q51" s="80"/>
      <c r="R51" s="80"/>
      <c r="S51" s="80"/>
      <c r="T51" s="80"/>
      <c r="U51" s="80"/>
      <c r="V51" s="80"/>
      <c r="W51" s="80"/>
      <c r="X51" s="80"/>
      <c r="Y51" s="80"/>
      <c r="Z51" s="80"/>
    </row>
    <row r="52" spans="1:26" x14ac:dyDescent="0.25">
      <c r="A52" s="80" t="s">
        <v>595</v>
      </c>
      <c r="B52" s="93" t="str">
        <f>IF('Sanctions and AML Information'!G8&lt;&gt;"",'Sanctions and AML Information'!G8,"---")</f>
        <v>ActOrServArms</v>
      </c>
      <c r="C52" s="93" t="str">
        <f>IF('Sanctions and AML Information'!C8&lt;&gt;"",'Sanctions and AML Information'!C8,".N/A.")</f>
        <v>.N/A.</v>
      </c>
      <c r="D52" s="80"/>
      <c r="E52" s="80"/>
      <c r="F52" s="80"/>
      <c r="G52" s="80"/>
      <c r="H52" s="80"/>
      <c r="I52" s="80"/>
      <c r="J52" s="80"/>
      <c r="K52" s="80"/>
      <c r="L52" s="80"/>
      <c r="M52" s="80"/>
      <c r="N52" s="80"/>
      <c r="O52" s="80"/>
      <c r="P52" s="80"/>
      <c r="Q52" s="80"/>
      <c r="R52" s="80"/>
      <c r="S52" s="80"/>
      <c r="T52" s="80"/>
      <c r="U52" s="80"/>
      <c r="V52" s="80"/>
      <c r="W52" s="80"/>
      <c r="X52" s="80"/>
      <c r="Y52" s="80"/>
      <c r="Z52" s="80"/>
    </row>
    <row r="53" spans="1:26" x14ac:dyDescent="0.25">
      <c r="A53" s="80" t="s">
        <v>595</v>
      </c>
      <c r="B53" s="93" t="str">
        <f>IF('Sanctions and AML Information'!G9&lt;&gt;"",'Sanctions and AML Information'!G9,"---")</f>
        <v>ActOrServBarsNight</v>
      </c>
      <c r="C53" s="93" t="str">
        <f>IF('Sanctions and AML Information'!C9&lt;&gt;"",'Sanctions and AML Information'!C9,".N/A.")</f>
        <v>.N/A.</v>
      </c>
      <c r="D53" s="80"/>
      <c r="E53" s="80"/>
      <c r="F53" s="80"/>
      <c r="G53" s="80"/>
      <c r="H53" s="80"/>
      <c r="I53" s="80"/>
      <c r="J53" s="80"/>
      <c r="K53" s="80"/>
      <c r="L53" s="80"/>
      <c r="M53" s="80"/>
      <c r="N53" s="80"/>
      <c r="O53" s="80"/>
      <c r="P53" s="80"/>
      <c r="Q53" s="80"/>
      <c r="R53" s="80"/>
      <c r="S53" s="80"/>
      <c r="T53" s="80"/>
      <c r="U53" s="80"/>
      <c r="V53" s="80"/>
      <c r="W53" s="80"/>
      <c r="X53" s="80"/>
      <c r="Y53" s="80"/>
      <c r="Z53" s="80"/>
    </row>
    <row r="54" spans="1:26" x14ac:dyDescent="0.25">
      <c r="A54" s="80" t="s">
        <v>595</v>
      </c>
      <c r="B54" s="93" t="str">
        <f>IF('Sanctions and AML Information'!G10&lt;&gt;"",'Sanctions and AML Information'!G10,"---")</f>
        <v>ActOrServArtsLux</v>
      </c>
      <c r="C54" s="93" t="str">
        <f>IF('Sanctions and AML Information'!C10&lt;&gt;"",'Sanctions and AML Information'!C10,".N/A.")</f>
        <v>.N/A.</v>
      </c>
      <c r="D54" s="80"/>
      <c r="E54" s="80"/>
      <c r="F54" s="80"/>
      <c r="G54" s="80"/>
      <c r="H54" s="80"/>
      <c r="I54" s="80"/>
      <c r="J54" s="80"/>
      <c r="K54" s="80"/>
      <c r="L54" s="80"/>
      <c r="M54" s="80"/>
      <c r="N54" s="80"/>
      <c r="O54" s="80"/>
      <c r="P54" s="80"/>
      <c r="Q54" s="80"/>
      <c r="R54" s="80"/>
      <c r="S54" s="80"/>
      <c r="T54" s="80"/>
      <c r="U54" s="80"/>
      <c r="V54" s="80"/>
      <c r="W54" s="80"/>
      <c r="X54" s="80"/>
      <c r="Y54" s="80"/>
      <c r="Z54" s="80"/>
    </row>
    <row r="55" spans="1:26" x14ac:dyDescent="0.25">
      <c r="A55" s="80" t="s">
        <v>595</v>
      </c>
      <c r="B55" s="93" t="str">
        <f>IF('Sanctions and AML Information'!G11&lt;&gt;"",'Sanctions and AML Information'!G11,"---")</f>
        <v>ActOrServMinMetals</v>
      </c>
      <c r="C55" s="93" t="str">
        <f>IF('Sanctions and AML Information'!C11&lt;&gt;"",'Sanctions and AML Information'!C11,".N/A.")</f>
        <v>.N/A.</v>
      </c>
      <c r="D55" s="80"/>
      <c r="E55" s="80"/>
      <c r="F55" s="80"/>
      <c r="G55" s="80"/>
      <c r="H55" s="80"/>
      <c r="I55" s="80"/>
      <c r="J55" s="80"/>
      <c r="K55" s="80"/>
      <c r="L55" s="80"/>
      <c r="M55" s="80"/>
      <c r="N55" s="80"/>
      <c r="O55" s="80"/>
      <c r="P55" s="80"/>
      <c r="Q55" s="80"/>
      <c r="R55" s="80"/>
      <c r="S55" s="80"/>
      <c r="T55" s="80"/>
      <c r="U55" s="80"/>
      <c r="V55" s="80"/>
      <c r="W55" s="80"/>
      <c r="X55" s="80"/>
      <c r="Y55" s="80"/>
      <c r="Z55" s="80"/>
    </row>
    <row r="56" spans="1:26" x14ac:dyDescent="0.25">
      <c r="A56" s="80" t="s">
        <v>595</v>
      </c>
      <c r="B56" s="93" t="str">
        <f>IF('Sanctions and AML Information'!G12&lt;&gt;"",'Sanctions and AML Information'!G12,"---")</f>
        <v>ActOrServAlcTobacco</v>
      </c>
      <c r="C56" s="93" t="str">
        <f>IF('Sanctions and AML Information'!C12&lt;&gt;"",'Sanctions and AML Information'!C12,".N/A.")</f>
        <v>.N/A.</v>
      </c>
      <c r="D56" s="80"/>
      <c r="E56" s="80"/>
      <c r="F56" s="80"/>
      <c r="G56" s="80"/>
      <c r="H56" s="80"/>
      <c r="I56" s="80"/>
      <c r="J56" s="80"/>
      <c r="K56" s="80"/>
      <c r="L56" s="80"/>
      <c r="M56" s="80"/>
      <c r="N56" s="80"/>
      <c r="O56" s="80"/>
      <c r="P56" s="80"/>
      <c r="Q56" s="80"/>
      <c r="R56" s="80"/>
      <c r="S56" s="80"/>
      <c r="T56" s="80"/>
      <c r="U56" s="80"/>
      <c r="V56" s="80"/>
      <c r="W56" s="80"/>
      <c r="X56" s="80"/>
      <c r="Y56" s="80"/>
      <c r="Z56" s="80"/>
    </row>
    <row r="57" spans="1:26" x14ac:dyDescent="0.25">
      <c r="A57" s="80" t="s">
        <v>595</v>
      </c>
      <c r="B57" s="93" t="str">
        <f>IF('Sanctions and AML Information'!G13&lt;&gt;"",'Sanctions and AML Information'!G13,"---")</f>
        <v>ActOrServCloudMin</v>
      </c>
      <c r="C57" s="93" t="str">
        <f>IF('Sanctions and AML Information'!C13&lt;&gt;"",'Sanctions and AML Information'!C13,".N/A.")</f>
        <v>.N/A.</v>
      </c>
      <c r="D57" s="80"/>
      <c r="E57" s="80"/>
      <c r="F57" s="80"/>
      <c r="G57" s="80"/>
      <c r="H57" s="80"/>
      <c r="I57" s="80"/>
      <c r="J57" s="80"/>
      <c r="K57" s="80"/>
      <c r="L57" s="80"/>
      <c r="M57" s="80"/>
      <c r="N57" s="80"/>
      <c r="O57" s="80"/>
      <c r="P57" s="80"/>
      <c r="Q57" s="80"/>
      <c r="R57" s="80"/>
      <c r="S57" s="80"/>
      <c r="T57" s="80"/>
      <c r="U57" s="80"/>
      <c r="V57" s="80"/>
      <c r="W57" s="80"/>
      <c r="X57" s="80"/>
      <c r="Y57" s="80"/>
      <c r="Z57" s="80"/>
    </row>
    <row r="58" spans="1:26" x14ac:dyDescent="0.25">
      <c r="A58" s="80" t="s">
        <v>595</v>
      </c>
      <c r="B58" s="93" t="str">
        <f>IF('Sanctions and AML Information'!G14&lt;&gt;"",'Sanctions and AML Information'!G14,"---")</f>
        <v>ActOrServCannabis</v>
      </c>
      <c r="C58" s="93" t="str">
        <f>IF('Sanctions and AML Information'!C14&lt;&gt;"",'Sanctions and AML Information'!C14,".N/A.")</f>
        <v>.N/A.</v>
      </c>
      <c r="D58" s="80"/>
      <c r="E58" s="80"/>
      <c r="F58" s="80"/>
      <c r="G58" s="80"/>
      <c r="H58" s="80"/>
      <c r="I58" s="80"/>
      <c r="J58" s="80"/>
      <c r="K58" s="80"/>
      <c r="L58" s="80"/>
      <c r="M58" s="80"/>
      <c r="N58" s="80"/>
      <c r="O58" s="80"/>
      <c r="P58" s="80"/>
      <c r="Q58" s="80"/>
      <c r="R58" s="80"/>
      <c r="S58" s="80"/>
      <c r="T58" s="80"/>
      <c r="U58" s="80"/>
      <c r="V58" s="80"/>
      <c r="W58" s="80"/>
      <c r="X58" s="80"/>
      <c r="Y58" s="80"/>
      <c r="Z58" s="80"/>
    </row>
    <row r="59" spans="1:26" x14ac:dyDescent="0.25">
      <c r="A59" s="80" t="s">
        <v>595</v>
      </c>
      <c r="B59" s="93" t="str">
        <f>IF('Sanctions and AML Information'!G17&lt;&gt;"",'Sanctions and AML Information'!G17,"---")</f>
        <v>ServResIran</v>
      </c>
      <c r="C59" s="93" t="str">
        <f>IF('Sanctions and AML Information'!C17&lt;&gt;"",'Sanctions and AML Information'!C17,".N/A.")</f>
        <v>.N/A.</v>
      </c>
      <c r="D59" s="80"/>
      <c r="E59" s="80"/>
      <c r="F59" s="80"/>
      <c r="G59" s="80"/>
      <c r="H59" s="80"/>
      <c r="I59" s="80"/>
      <c r="J59" s="80"/>
      <c r="K59" s="80"/>
      <c r="L59" s="80"/>
      <c r="M59" s="80"/>
      <c r="N59" s="80"/>
      <c r="O59" s="80"/>
      <c r="P59" s="80"/>
      <c r="Q59" s="80"/>
      <c r="R59" s="80"/>
      <c r="S59" s="80"/>
      <c r="T59" s="80"/>
      <c r="U59" s="80"/>
      <c r="V59" s="80"/>
      <c r="W59" s="80"/>
      <c r="X59" s="80"/>
      <c r="Y59" s="80"/>
      <c r="Z59" s="80"/>
    </row>
    <row r="60" spans="1:26" x14ac:dyDescent="0.25">
      <c r="A60" s="80" t="s">
        <v>595</v>
      </c>
      <c r="B60" s="93" t="str">
        <f>IF('Sanctions and AML Information'!G18&lt;&gt;"",'Sanctions and AML Information'!G18,"---")</f>
        <v>ServResSyria</v>
      </c>
      <c r="C60" s="93" t="str">
        <f>IF('Sanctions and AML Information'!C18&lt;&gt;"",'Sanctions and AML Information'!C18,".N/A.")</f>
        <v>.N/A.</v>
      </c>
      <c r="D60" s="80"/>
      <c r="E60" s="80"/>
      <c r="F60" s="80"/>
      <c r="G60" s="80"/>
      <c r="H60" s="80"/>
      <c r="I60" s="80"/>
      <c r="J60" s="80"/>
      <c r="K60" s="80"/>
      <c r="L60" s="80"/>
      <c r="M60" s="80"/>
      <c r="N60" s="80"/>
      <c r="O60" s="80"/>
      <c r="P60" s="80"/>
      <c r="Q60" s="80"/>
      <c r="R60" s="80"/>
      <c r="S60" s="80"/>
      <c r="T60" s="80"/>
      <c r="U60" s="80"/>
      <c r="V60" s="80"/>
      <c r="W60" s="80"/>
      <c r="X60" s="80"/>
      <c r="Y60" s="80"/>
      <c r="Z60" s="80"/>
    </row>
    <row r="61" spans="1:26" x14ac:dyDescent="0.25">
      <c r="A61" s="80" t="s">
        <v>595</v>
      </c>
      <c r="B61" s="93" t="str">
        <f>IF('Sanctions and AML Information'!G19&lt;&gt;"",'Sanctions and AML Information'!G19,"---")</f>
        <v>ServResNorthKorea</v>
      </c>
      <c r="C61" s="93" t="str">
        <f>IF('Sanctions and AML Information'!C19&lt;&gt;"",'Sanctions and AML Information'!C19,".N/A.")</f>
        <v>.N/A.</v>
      </c>
      <c r="D61" s="80"/>
      <c r="E61" s="80"/>
      <c r="F61" s="80"/>
      <c r="G61" s="80"/>
      <c r="H61" s="80"/>
      <c r="I61" s="80"/>
      <c r="J61" s="80"/>
      <c r="K61" s="80"/>
      <c r="L61" s="80"/>
      <c r="M61" s="80"/>
      <c r="N61" s="80"/>
      <c r="O61" s="80"/>
      <c r="P61" s="80"/>
      <c r="Q61" s="80"/>
      <c r="R61" s="80"/>
      <c r="S61" s="80"/>
      <c r="T61" s="80"/>
      <c r="U61" s="80"/>
      <c r="V61" s="80"/>
      <c r="W61" s="80"/>
      <c r="X61" s="80"/>
      <c r="Y61" s="80"/>
      <c r="Z61" s="80"/>
    </row>
    <row r="62" spans="1:26" x14ac:dyDescent="0.25">
      <c r="A62" s="80" t="s">
        <v>595</v>
      </c>
      <c r="B62" s="93" t="str">
        <f>IF('Sanctions and AML Information'!G20&lt;&gt;"",'Sanctions and AML Information'!G20,"---")</f>
        <v>ServResSudanSouthSudan</v>
      </c>
      <c r="C62" s="93" t="str">
        <f>IF('Sanctions and AML Information'!C20&lt;&gt;"",'Sanctions and AML Information'!C20,".N/A.")</f>
        <v>.N/A.</v>
      </c>
      <c r="D62" s="80"/>
      <c r="E62" s="80"/>
      <c r="F62" s="80"/>
      <c r="G62" s="80"/>
      <c r="H62" s="80"/>
      <c r="I62" s="80"/>
      <c r="J62" s="80"/>
      <c r="K62" s="80"/>
      <c r="L62" s="80"/>
      <c r="M62" s="80"/>
      <c r="N62" s="80"/>
      <c r="O62" s="80"/>
      <c r="P62" s="80"/>
      <c r="Q62" s="80"/>
      <c r="R62" s="80"/>
      <c r="S62" s="80"/>
      <c r="T62" s="80"/>
      <c r="U62" s="80"/>
      <c r="V62" s="80"/>
      <c r="W62" s="80"/>
      <c r="X62" s="80"/>
      <c r="Y62" s="80"/>
      <c r="Z62" s="80"/>
    </row>
    <row r="63" spans="1:26" x14ac:dyDescent="0.25">
      <c r="A63" s="80" t="s">
        <v>595</v>
      </c>
      <c r="B63" s="93" t="str">
        <f>IF('Sanctions and AML Information'!G21&lt;&gt;"",'Sanctions and AML Information'!G21,"---")</f>
        <v>ServResSomalia</v>
      </c>
      <c r="C63" s="93" t="str">
        <f>IF('Sanctions and AML Information'!C21&lt;&gt;"",'Sanctions and AML Information'!C21,".N/A.")</f>
        <v>.N/A.</v>
      </c>
      <c r="D63" s="80"/>
      <c r="E63" s="80"/>
      <c r="F63" s="80"/>
      <c r="G63" s="80"/>
      <c r="H63" s="80"/>
      <c r="I63" s="80"/>
      <c r="J63" s="80"/>
      <c r="K63" s="80"/>
      <c r="L63" s="80"/>
      <c r="M63" s="80"/>
      <c r="N63" s="80"/>
      <c r="O63" s="80"/>
      <c r="P63" s="80"/>
      <c r="Q63" s="80"/>
      <c r="R63" s="80"/>
      <c r="S63" s="80"/>
      <c r="T63" s="80"/>
      <c r="U63" s="80"/>
      <c r="V63" s="80"/>
      <c r="W63" s="80"/>
      <c r="X63" s="80"/>
      <c r="Y63" s="80"/>
      <c r="Z63" s="80"/>
    </row>
    <row r="64" spans="1:26" x14ac:dyDescent="0.25">
      <c r="A64" s="80" t="s">
        <v>595</v>
      </c>
      <c r="B64" s="93" t="str">
        <f>IF('Sanctions and AML Information'!G22&lt;&gt;"",'Sanctions and AML Information'!G22,"---")</f>
        <v>SevResMaynmar</v>
      </c>
      <c r="C64" s="93" t="str">
        <f>IF('Sanctions and AML Information'!C22&lt;&gt;"",'Sanctions and AML Information'!C22,".N/A.")</f>
        <v>.N/A.</v>
      </c>
      <c r="D64" s="80"/>
      <c r="E64" s="80"/>
      <c r="F64" s="80"/>
      <c r="G64" s="80"/>
      <c r="H64" s="80"/>
      <c r="I64" s="80"/>
      <c r="J64" s="80"/>
      <c r="K64" s="80"/>
      <c r="L64" s="80"/>
      <c r="M64" s="80"/>
      <c r="N64" s="80"/>
      <c r="O64" s="80"/>
      <c r="P64" s="80"/>
      <c r="Q64" s="80"/>
      <c r="R64" s="80"/>
      <c r="S64" s="80"/>
      <c r="T64" s="80"/>
      <c r="U64" s="80"/>
      <c r="V64" s="80"/>
      <c r="W64" s="80"/>
      <c r="X64" s="80"/>
      <c r="Y64" s="80"/>
      <c r="Z64" s="80"/>
    </row>
    <row r="65" spans="1:29" x14ac:dyDescent="0.25">
      <c r="A65" s="80" t="s">
        <v>595</v>
      </c>
      <c r="B65" s="93" t="str">
        <f>IF('Sanctions and AML Information'!G23&lt;&gt;"",'Sanctions and AML Information'!G23,"---")</f>
        <v>ServResCuba</v>
      </c>
      <c r="C65" s="93" t="str">
        <f>IF('Sanctions and AML Information'!C23&lt;&gt;"",'Sanctions and AML Information'!C23,".N/A.")</f>
        <v>.N/A.</v>
      </c>
      <c r="D65" s="80"/>
      <c r="E65" s="80"/>
      <c r="F65" s="80"/>
      <c r="G65" s="80"/>
      <c r="H65" s="80"/>
      <c r="I65" s="80"/>
      <c r="J65" s="80"/>
      <c r="K65" s="80"/>
      <c r="L65" s="80"/>
      <c r="M65" s="80"/>
      <c r="N65" s="80"/>
      <c r="O65" s="80"/>
      <c r="P65" s="80"/>
      <c r="Q65" s="80"/>
      <c r="R65" s="80"/>
      <c r="S65" s="80"/>
      <c r="T65" s="80"/>
      <c r="U65" s="80"/>
      <c r="V65" s="80"/>
      <c r="W65" s="80"/>
      <c r="X65" s="80"/>
      <c r="Y65" s="80"/>
      <c r="Z65" s="80"/>
    </row>
    <row r="66" spans="1:29" x14ac:dyDescent="0.25">
      <c r="A66" s="80" t="s">
        <v>595</v>
      </c>
      <c r="B66" s="93" t="str">
        <f>IF('Sanctions and AML Information'!G24&lt;&gt;"",'Sanctions and AML Information'!G24,"---")</f>
        <v>ServResYemen</v>
      </c>
      <c r="C66" s="93" t="str">
        <f>IF('Sanctions and AML Information'!C24&lt;&gt;"",'Sanctions and AML Information'!C24,".N/A.")</f>
        <v>.N/A.</v>
      </c>
      <c r="D66" s="80"/>
      <c r="E66" s="80"/>
      <c r="F66" s="80"/>
      <c r="G66" s="80"/>
      <c r="H66" s="80"/>
      <c r="I66" s="80"/>
      <c r="J66" s="80"/>
      <c r="K66" s="80"/>
      <c r="L66" s="80"/>
      <c r="M66" s="80"/>
      <c r="N66" s="80"/>
      <c r="O66" s="80"/>
      <c r="P66" s="80"/>
      <c r="Q66" s="80"/>
      <c r="R66" s="80"/>
      <c r="S66" s="80"/>
      <c r="T66" s="80"/>
      <c r="U66" s="80"/>
      <c r="V66" s="80"/>
      <c r="W66" s="80"/>
      <c r="X66" s="80"/>
      <c r="Y66" s="80"/>
      <c r="Z66" s="80"/>
    </row>
    <row r="67" spans="1:29" x14ac:dyDescent="0.25">
      <c r="A67" s="80" t="s">
        <v>595</v>
      </c>
      <c r="B67" s="93" t="str">
        <f>IF('Sanctions and AML Information'!G25&lt;&gt;"",'Sanctions and AML Information'!G25,"---")</f>
        <v>ServResZimbabwe</v>
      </c>
      <c r="C67" s="93" t="str">
        <f>IF('Sanctions and AML Information'!C25&lt;&gt;"",'Sanctions and AML Information'!C25,".N/A.")</f>
        <v>.N/A.</v>
      </c>
      <c r="D67" s="80"/>
      <c r="E67" s="80"/>
      <c r="F67" s="80"/>
      <c r="G67" s="80"/>
      <c r="H67" s="80"/>
      <c r="I67" s="80"/>
      <c r="J67" s="80"/>
      <c r="K67" s="80"/>
      <c r="L67" s="80"/>
      <c r="M67" s="80"/>
      <c r="N67" s="80"/>
      <c r="O67" s="80"/>
      <c r="P67" s="80"/>
      <c r="Q67" s="80"/>
      <c r="R67" s="80"/>
      <c r="S67" s="80"/>
      <c r="T67" s="80"/>
      <c r="U67" s="80"/>
      <c r="V67" s="80"/>
      <c r="W67" s="80"/>
      <c r="X67" s="80"/>
      <c r="Y67" s="80"/>
      <c r="Z67" s="80"/>
    </row>
    <row r="68" spans="1:29" x14ac:dyDescent="0.25">
      <c r="A68" s="80" t="s">
        <v>595</v>
      </c>
      <c r="B68" s="93" t="str">
        <f>IF('Sanctions and AML Information'!G26&lt;&gt;"",'Sanctions and AML Information'!G26,"---")</f>
        <v>ServResCrimea</v>
      </c>
      <c r="C68" s="93" t="str">
        <f>IF('Sanctions and AML Information'!C26&lt;&gt;"",'Sanctions and AML Information'!C26,".N/A.")</f>
        <v>.N/A.</v>
      </c>
      <c r="D68" s="80"/>
      <c r="E68" s="80"/>
      <c r="F68" s="80"/>
      <c r="G68" s="80"/>
      <c r="H68" s="80"/>
      <c r="I68" s="80"/>
      <c r="J68" s="80"/>
      <c r="K68" s="80"/>
      <c r="L68" s="80"/>
      <c r="M68" s="80"/>
      <c r="N68" s="80"/>
      <c r="O68" s="80"/>
      <c r="P68" s="80"/>
      <c r="Q68" s="80"/>
      <c r="R68" s="80"/>
      <c r="S68" s="80"/>
      <c r="T68" s="80"/>
      <c r="U68" s="80"/>
      <c r="V68" s="80"/>
      <c r="W68" s="80"/>
      <c r="X68" s="80"/>
      <c r="Y68" s="80"/>
      <c r="Z68" s="80"/>
    </row>
    <row r="69" spans="1:29" ht="15.75" thickBot="1" x14ac:dyDescent="0.3">
      <c r="A69" s="80" t="s">
        <v>595</v>
      </c>
      <c r="B69" s="93" t="str">
        <f>IF('Sanctions and AML Information'!G28&lt;&gt;"",'Sanctions and AML Information'!G28,"---")</f>
        <v>CompUBOLaundTerrYesNo</v>
      </c>
      <c r="C69" s="93" t="str">
        <f>IF('Sanctions and AML Information'!C28&lt;&gt;"",'Sanctions and AML Information'!C28,".N/A.")</f>
        <v>.N/A.</v>
      </c>
      <c r="D69" s="80"/>
      <c r="E69" s="80"/>
      <c r="F69" s="80"/>
      <c r="G69" s="80"/>
      <c r="H69" s="80"/>
      <c r="I69" s="80"/>
      <c r="J69" s="80"/>
      <c r="K69" s="80"/>
      <c r="L69" s="80"/>
      <c r="M69" s="80"/>
      <c r="N69" s="80"/>
      <c r="O69" s="80"/>
      <c r="P69" s="80"/>
      <c r="Q69" s="80"/>
      <c r="R69" s="80"/>
      <c r="S69" s="80"/>
      <c r="T69" s="80"/>
      <c r="U69" s="80"/>
      <c r="V69" s="80"/>
      <c r="W69" s="80"/>
      <c r="X69" s="80"/>
      <c r="Y69" s="80"/>
      <c r="Z69" s="80"/>
    </row>
    <row r="70" spans="1:29" ht="15.75" thickBot="1" x14ac:dyDescent="0.3">
      <c r="A70" s="89" t="s">
        <v>1271</v>
      </c>
      <c r="B70" s="94" t="s">
        <v>939</v>
      </c>
      <c r="C70" s="94"/>
      <c r="D70" s="90"/>
      <c r="E70" s="95"/>
      <c r="F70" s="80"/>
      <c r="G70" s="80"/>
      <c r="H70" s="80"/>
      <c r="I70" s="80"/>
      <c r="J70" s="80"/>
      <c r="K70" s="80"/>
      <c r="L70" s="80"/>
      <c r="M70" s="80"/>
      <c r="N70" s="80"/>
      <c r="O70" s="80"/>
      <c r="P70" s="80"/>
      <c r="Q70" s="80"/>
      <c r="R70" s="80"/>
      <c r="S70" s="80"/>
      <c r="T70" s="80"/>
      <c r="U70" s="80"/>
      <c r="V70" s="80"/>
      <c r="W70" s="80"/>
      <c r="X70" s="80"/>
      <c r="Y70" s="80"/>
      <c r="Z70" s="80"/>
    </row>
    <row r="71" spans="1:29" x14ac:dyDescent="0.25">
      <c r="A71" s="123" t="s">
        <v>1271</v>
      </c>
      <c r="B71" s="124" t="s">
        <v>1272</v>
      </c>
      <c r="C71" s="124" t="str">
        <f>'Ownership, SOF'!B8</f>
        <v>Stake</v>
      </c>
      <c r="D71" s="124" t="str">
        <f>'Ownership, SOF'!C8</f>
        <v>Name</v>
      </c>
      <c r="E71" s="124" t="str">
        <f>'Ownership, SOF'!D8</f>
        <v>Surname</v>
      </c>
      <c r="F71" s="124" t="str">
        <f>'Ownership, SOF'!E8</f>
        <v>Date of Birth</v>
      </c>
      <c r="G71" s="124" t="str">
        <f>'Ownership, SOF'!F8</f>
        <v xml:space="preserve">Nationality </v>
      </c>
      <c r="H71" s="124" t="str">
        <f>'Ownership, SOF'!G8</f>
        <v>Address</v>
      </c>
      <c r="I71" s="124" t="str">
        <f>'Ownership, SOF'!H8</f>
        <v>Post Code</v>
      </c>
      <c r="J71" s="124" t="str">
        <f>'Ownership, SOF'!I8</f>
        <v xml:space="preserve">City </v>
      </c>
      <c r="K71" s="124" t="str">
        <f>'Ownership, SOF'!J8</f>
        <v>Country of Residence</v>
      </c>
      <c r="L71" s="124" t="str">
        <f>'Ownership, SOF'!K8</f>
        <v>State of Residence 
(US only)</v>
      </c>
      <c r="M71" s="124" t="str">
        <f>'Ownership, SOF'!L8</f>
        <v>Social Security Number
(if applicable)</v>
      </c>
      <c r="N71" s="124" t="str">
        <f>'Ownership, SOF'!M8</f>
        <v>Actively Involved in the Company (Y/N)</v>
      </c>
      <c r="O71" s="124"/>
      <c r="P71" s="124"/>
      <c r="Q71" s="124"/>
      <c r="R71" s="124"/>
      <c r="S71" s="124"/>
      <c r="T71" s="124"/>
      <c r="U71" s="124"/>
      <c r="V71" s="80"/>
      <c r="W71" s="80"/>
      <c r="X71" s="80"/>
      <c r="Y71" s="80"/>
      <c r="Z71" s="80"/>
    </row>
    <row r="72" spans="1:29" x14ac:dyDescent="0.25">
      <c r="A72" s="80" t="s">
        <v>1271</v>
      </c>
      <c r="B72" s="93" t="s">
        <v>1272</v>
      </c>
      <c r="C72" s="93" t="str">
        <f>IF('Ownership, SOF'!B9&lt;&gt;"",'Ownership, SOF'!B9,".N/A.")</f>
        <v>.N/A.</v>
      </c>
      <c r="D72" s="93" t="str">
        <f>IF('Ownership, SOF'!C9&lt;&gt;"",'Ownership, SOF'!C9,".N/A.")</f>
        <v>.N/A.</v>
      </c>
      <c r="E72" s="93" t="str">
        <f>IF('Ownership, SOF'!D9&lt;&gt;"",'Ownership, SOF'!D9,".N/A.")</f>
        <v>.N/A.</v>
      </c>
      <c r="F72" s="93" t="str">
        <f>IF('Ownership, SOF'!E9&lt;&gt;"",'Ownership, SOF'!E9,".N/A.")</f>
        <v>.N/A.</v>
      </c>
      <c r="G72" s="93" t="str">
        <f>IF('Ownership, SOF'!F9&lt;&gt;"",'Ownership, SOF'!F9,".N/A.")</f>
        <v>.N/A.</v>
      </c>
      <c r="H72" s="93" t="str">
        <f>IF('Ownership, SOF'!G9&lt;&gt;"",'Ownership, SOF'!G9,".N/A.")</f>
        <v>.N/A.</v>
      </c>
      <c r="I72" s="93" t="str">
        <f>IF('Ownership, SOF'!H9&lt;&gt;"",'Ownership, SOF'!H9,".N/A.")</f>
        <v>.N/A.</v>
      </c>
      <c r="J72" s="93" t="str">
        <f>IF('Ownership, SOF'!I9&lt;&gt;"",'Ownership, SOF'!I9,".N/A.")</f>
        <v>.N/A.</v>
      </c>
      <c r="K72" s="93" t="str">
        <f>IF('Ownership, SOF'!J9&lt;&gt;"",'Ownership, SOF'!J9,".N/A.")</f>
        <v>.N/A.</v>
      </c>
      <c r="L72" s="93" t="str">
        <f>IF('Ownership, SOF'!K9&lt;&gt;"",'Ownership, SOF'!K9,".N/A.")</f>
        <v>.N/A.</v>
      </c>
      <c r="M72" s="93" t="str">
        <f>IF('Ownership, SOF'!L9&lt;&gt;"",'Ownership, SOF'!L9,".N/A.")</f>
        <v>.N/A.</v>
      </c>
      <c r="N72" s="93" t="str">
        <f>IF('Ownership, SOF'!M9&lt;&gt;"",'Ownership, SOF'!M9,".N/A.")</f>
        <v>.N/A.</v>
      </c>
      <c r="O72" s="122"/>
      <c r="P72" s="80"/>
      <c r="Q72" s="80"/>
      <c r="R72" s="80"/>
      <c r="S72" s="80"/>
      <c r="T72" s="80"/>
      <c r="U72" s="80"/>
      <c r="V72" s="80"/>
      <c r="W72" s="80"/>
      <c r="X72" s="80"/>
      <c r="Y72" s="80"/>
      <c r="Z72" s="80"/>
      <c r="AA72" s="80"/>
      <c r="AB72" s="80"/>
      <c r="AC72" s="80"/>
    </row>
    <row r="73" spans="1:29" x14ac:dyDescent="0.25">
      <c r="A73" s="80" t="s">
        <v>1271</v>
      </c>
      <c r="B73" s="93" t="s">
        <v>1272</v>
      </c>
      <c r="C73" s="93" t="str">
        <f>IF('Ownership, SOF'!B10&lt;&gt;"",'Ownership, SOF'!B10,".N/A.")</f>
        <v>.N/A.</v>
      </c>
      <c r="D73" s="93" t="str">
        <f>IF('Ownership, SOF'!C10&lt;&gt;"",'Ownership, SOF'!C10,".N/A.")</f>
        <v>.N/A.</v>
      </c>
      <c r="E73" s="93" t="str">
        <f>IF('Ownership, SOF'!D10&lt;&gt;"",'Ownership, SOF'!D10,".N/A.")</f>
        <v>.N/A.</v>
      </c>
      <c r="F73" s="93" t="str">
        <f>IF('Ownership, SOF'!E10&lt;&gt;"",'Ownership, SOF'!E10,".N/A.")</f>
        <v>.N/A.</v>
      </c>
      <c r="G73" s="93" t="str">
        <f>IF('Ownership, SOF'!F10&lt;&gt;"",'Ownership, SOF'!F10,".N/A.")</f>
        <v>.N/A.</v>
      </c>
      <c r="H73" s="93" t="str">
        <f>IF('Ownership, SOF'!G10&lt;&gt;"",'Ownership, SOF'!G10,".N/A.")</f>
        <v>.N/A.</v>
      </c>
      <c r="I73" s="93" t="str">
        <f>IF('Ownership, SOF'!H10&lt;&gt;"",'Ownership, SOF'!H10,".N/A.")</f>
        <v>.N/A.</v>
      </c>
      <c r="J73" s="93" t="str">
        <f>IF('Ownership, SOF'!I10&lt;&gt;"",'Ownership, SOF'!I10,".N/A.")</f>
        <v>.N/A.</v>
      </c>
      <c r="K73" s="93" t="str">
        <f>IF('Ownership, SOF'!J10&lt;&gt;"",'Ownership, SOF'!J10,".N/A.")</f>
        <v>.N/A.</v>
      </c>
      <c r="L73" s="93" t="str">
        <f>IF('Ownership, SOF'!K10&lt;&gt;"",'Ownership, SOF'!K10,".N/A.")</f>
        <v>.N/A.</v>
      </c>
      <c r="M73" s="93" t="str">
        <f>IF('Ownership, SOF'!L10&lt;&gt;"",'Ownership, SOF'!L10,".N/A.")</f>
        <v>.N/A.</v>
      </c>
      <c r="N73" s="93" t="str">
        <f>IF('Ownership, SOF'!M10&lt;&gt;"",'Ownership, SOF'!M10,".N/A.")</f>
        <v>.N/A.</v>
      </c>
      <c r="O73" s="122"/>
      <c r="P73" s="80"/>
      <c r="Q73" s="80"/>
      <c r="R73" s="80"/>
      <c r="S73" s="80"/>
      <c r="T73" s="80"/>
      <c r="U73" s="80"/>
      <c r="V73" s="80"/>
      <c r="W73" s="80"/>
      <c r="X73" s="80"/>
      <c r="Y73" s="80"/>
      <c r="Z73" s="80"/>
      <c r="AA73" s="80"/>
      <c r="AB73" s="80"/>
      <c r="AC73" s="80"/>
    </row>
    <row r="74" spans="1:29" x14ac:dyDescent="0.25">
      <c r="A74" s="80" t="s">
        <v>1271</v>
      </c>
      <c r="B74" s="93" t="s">
        <v>1272</v>
      </c>
      <c r="C74" s="93" t="str">
        <f>IF('Ownership, SOF'!B11&lt;&gt;"",'Ownership, SOF'!B11,".N/A.")</f>
        <v>.N/A.</v>
      </c>
      <c r="D74" s="93" t="str">
        <f>IF('Ownership, SOF'!C11&lt;&gt;"",'Ownership, SOF'!C11,".N/A.")</f>
        <v>.N/A.</v>
      </c>
      <c r="E74" s="93" t="str">
        <f>IF('Ownership, SOF'!D11&lt;&gt;"",'Ownership, SOF'!D11,".N/A.")</f>
        <v>.N/A.</v>
      </c>
      <c r="F74" s="93" t="str">
        <f>IF('Ownership, SOF'!E11&lt;&gt;"",'Ownership, SOF'!E11,".N/A.")</f>
        <v>.N/A.</v>
      </c>
      <c r="G74" s="93" t="str">
        <f>IF('Ownership, SOF'!F11&lt;&gt;"",'Ownership, SOF'!F11,".N/A.")</f>
        <v>.N/A.</v>
      </c>
      <c r="H74" s="93" t="str">
        <f>IF('Ownership, SOF'!G11&lt;&gt;"",'Ownership, SOF'!G11,".N/A.")</f>
        <v>.N/A.</v>
      </c>
      <c r="I74" s="93" t="str">
        <f>IF('Ownership, SOF'!H11&lt;&gt;"",'Ownership, SOF'!H11,".N/A.")</f>
        <v>.N/A.</v>
      </c>
      <c r="J74" s="93" t="str">
        <f>IF('Ownership, SOF'!I11&lt;&gt;"",'Ownership, SOF'!I11,".N/A.")</f>
        <v>.N/A.</v>
      </c>
      <c r="K74" s="93" t="str">
        <f>IF('Ownership, SOF'!J11&lt;&gt;"",'Ownership, SOF'!J11,".N/A.")</f>
        <v>.N/A.</v>
      </c>
      <c r="L74" s="93" t="str">
        <f>IF('Ownership, SOF'!K11&lt;&gt;"",'Ownership, SOF'!K11,".N/A.")</f>
        <v>.N/A.</v>
      </c>
      <c r="M74" s="93" t="str">
        <f>IF('Ownership, SOF'!L11&lt;&gt;"",'Ownership, SOF'!L11,".N/A.")</f>
        <v>.N/A.</v>
      </c>
      <c r="N74" s="93" t="str">
        <f>IF('Ownership, SOF'!M11&lt;&gt;"",'Ownership, SOF'!M11,".N/A.")</f>
        <v>.N/A.</v>
      </c>
      <c r="O74" s="122"/>
      <c r="P74" s="80"/>
      <c r="Q74" s="80"/>
      <c r="R74" s="80"/>
      <c r="S74" s="80"/>
      <c r="T74" s="80"/>
      <c r="U74" s="80"/>
      <c r="V74" s="80"/>
      <c r="W74" s="80"/>
      <c r="X74" s="80"/>
      <c r="Y74" s="80"/>
      <c r="Z74" s="80"/>
      <c r="AA74" s="80"/>
      <c r="AB74" s="80"/>
      <c r="AC74" s="80"/>
    </row>
    <row r="75" spans="1:29" x14ac:dyDescent="0.25">
      <c r="A75" s="80" t="s">
        <v>1271</v>
      </c>
      <c r="B75" s="93" t="s">
        <v>1272</v>
      </c>
      <c r="C75" s="93" t="str">
        <f>IF('Ownership, SOF'!B12&lt;&gt;"",'Ownership, SOF'!B12,".N/A.")</f>
        <v>.N/A.</v>
      </c>
      <c r="D75" s="93" t="str">
        <f>IF('Ownership, SOF'!C12&lt;&gt;"",'Ownership, SOF'!C12,".N/A.")</f>
        <v>.N/A.</v>
      </c>
      <c r="E75" s="93" t="str">
        <f>IF('Ownership, SOF'!D12&lt;&gt;"",'Ownership, SOF'!D12,".N/A.")</f>
        <v>.N/A.</v>
      </c>
      <c r="F75" s="93" t="str">
        <f>IF('Ownership, SOF'!E12&lt;&gt;"",'Ownership, SOF'!E12,".N/A.")</f>
        <v>.N/A.</v>
      </c>
      <c r="G75" s="93" t="str">
        <f>IF('Ownership, SOF'!F12&lt;&gt;"",'Ownership, SOF'!F12,".N/A.")</f>
        <v>.N/A.</v>
      </c>
      <c r="H75" s="93" t="str">
        <f>IF('Ownership, SOF'!G12&lt;&gt;"",'Ownership, SOF'!G12,".N/A.")</f>
        <v>.N/A.</v>
      </c>
      <c r="I75" s="93" t="str">
        <f>IF('Ownership, SOF'!H12&lt;&gt;"",'Ownership, SOF'!H12,".N/A.")</f>
        <v>.N/A.</v>
      </c>
      <c r="J75" s="93" t="str">
        <f>IF('Ownership, SOF'!I12&lt;&gt;"",'Ownership, SOF'!I12,".N/A.")</f>
        <v>.N/A.</v>
      </c>
      <c r="K75" s="93" t="str">
        <f>IF('Ownership, SOF'!J12&lt;&gt;"",'Ownership, SOF'!J12,".N/A.")</f>
        <v>.N/A.</v>
      </c>
      <c r="L75" s="93" t="str">
        <f>IF('Ownership, SOF'!K12&lt;&gt;"",'Ownership, SOF'!K12,".N/A.")</f>
        <v>.N/A.</v>
      </c>
      <c r="M75" s="93" t="str">
        <f>IF('Ownership, SOF'!L12&lt;&gt;"",'Ownership, SOF'!L12,".N/A.")</f>
        <v>.N/A.</v>
      </c>
      <c r="N75" s="93" t="str">
        <f>IF('Ownership, SOF'!M12&lt;&gt;"",'Ownership, SOF'!M12,".N/A.")</f>
        <v>.N/A.</v>
      </c>
      <c r="O75" s="122"/>
      <c r="P75" s="80"/>
      <c r="Q75" s="80"/>
      <c r="R75" s="80"/>
      <c r="S75" s="80"/>
      <c r="T75" s="80"/>
      <c r="U75" s="80"/>
      <c r="V75" s="80"/>
      <c r="W75" s="80"/>
      <c r="X75" s="80"/>
      <c r="Y75" s="80"/>
      <c r="Z75" s="80"/>
      <c r="AA75" s="80"/>
      <c r="AB75" s="80"/>
      <c r="AC75" s="80"/>
    </row>
    <row r="76" spans="1:29" x14ac:dyDescent="0.25">
      <c r="A76" s="80" t="s">
        <v>1271</v>
      </c>
      <c r="B76" s="93" t="s">
        <v>1272</v>
      </c>
      <c r="C76" s="93" t="str">
        <f>IF('Ownership, SOF'!B13&lt;&gt;"",'Ownership, SOF'!B13,".N/A.")</f>
        <v>.N/A.</v>
      </c>
      <c r="D76" s="93" t="str">
        <f>IF('Ownership, SOF'!C13&lt;&gt;"",'Ownership, SOF'!C13,".N/A.")</f>
        <v>.N/A.</v>
      </c>
      <c r="E76" s="93" t="str">
        <f>IF('Ownership, SOF'!D13&lt;&gt;"",'Ownership, SOF'!D13,".N/A.")</f>
        <v>.N/A.</v>
      </c>
      <c r="F76" s="93" t="str">
        <f>IF('Ownership, SOF'!E13&lt;&gt;"",'Ownership, SOF'!E13,".N/A.")</f>
        <v>.N/A.</v>
      </c>
      <c r="G76" s="93" t="str">
        <f>IF('Ownership, SOF'!F13&lt;&gt;"",'Ownership, SOF'!F13,".N/A.")</f>
        <v>.N/A.</v>
      </c>
      <c r="H76" s="93" t="str">
        <f>IF('Ownership, SOF'!G13&lt;&gt;"",'Ownership, SOF'!G13,".N/A.")</f>
        <v>.N/A.</v>
      </c>
      <c r="I76" s="93" t="str">
        <f>IF('Ownership, SOF'!H13&lt;&gt;"",'Ownership, SOF'!H13,".N/A.")</f>
        <v>.N/A.</v>
      </c>
      <c r="J76" s="93" t="str">
        <f>IF('Ownership, SOF'!I13&lt;&gt;"",'Ownership, SOF'!I13,".N/A.")</f>
        <v>.N/A.</v>
      </c>
      <c r="K76" s="93" t="str">
        <f>IF('Ownership, SOF'!J13&lt;&gt;"",'Ownership, SOF'!J13,".N/A.")</f>
        <v>.N/A.</v>
      </c>
      <c r="L76" s="93" t="str">
        <f>IF('Ownership, SOF'!K13&lt;&gt;"",'Ownership, SOF'!K13,".N/A.")</f>
        <v>.N/A.</v>
      </c>
      <c r="M76" s="93" t="str">
        <f>IF('Ownership, SOF'!L13&lt;&gt;"",'Ownership, SOF'!L13,".N/A.")</f>
        <v>.N/A.</v>
      </c>
      <c r="N76" s="93" t="str">
        <f>IF('Ownership, SOF'!M13&lt;&gt;"",'Ownership, SOF'!M13,".N/A.")</f>
        <v>.N/A.</v>
      </c>
      <c r="O76" s="122"/>
      <c r="P76" s="80"/>
      <c r="Q76" s="80"/>
      <c r="R76" s="80"/>
      <c r="S76" s="80"/>
      <c r="T76" s="80"/>
      <c r="U76" s="80"/>
      <c r="V76" s="80"/>
      <c r="W76" s="80"/>
      <c r="X76" s="80"/>
      <c r="Y76" s="80"/>
      <c r="Z76" s="80"/>
      <c r="AA76" s="80"/>
      <c r="AB76" s="80"/>
      <c r="AC76" s="80"/>
    </row>
    <row r="77" spans="1:29" x14ac:dyDescent="0.25">
      <c r="A77" s="80" t="s">
        <v>1271</v>
      </c>
      <c r="B77" s="93" t="s">
        <v>1272</v>
      </c>
      <c r="C77" s="93" t="str">
        <f>IF('Ownership, SOF'!B14&lt;&gt;"",'Ownership, SOF'!B14,".N/A.")</f>
        <v>.N/A.</v>
      </c>
      <c r="D77" s="93" t="str">
        <f>IF('Ownership, SOF'!C14&lt;&gt;"",'Ownership, SOF'!C14,".N/A.")</f>
        <v>.N/A.</v>
      </c>
      <c r="E77" s="93" t="str">
        <f>IF('Ownership, SOF'!D14&lt;&gt;"",'Ownership, SOF'!D14,".N/A.")</f>
        <v>.N/A.</v>
      </c>
      <c r="F77" s="93" t="str">
        <f>IF('Ownership, SOF'!E14&lt;&gt;"",'Ownership, SOF'!E14,".N/A.")</f>
        <v>.N/A.</v>
      </c>
      <c r="G77" s="93" t="str">
        <f>IF('Ownership, SOF'!F14&lt;&gt;"",'Ownership, SOF'!F14,".N/A.")</f>
        <v>.N/A.</v>
      </c>
      <c r="H77" s="93" t="str">
        <f>IF('Ownership, SOF'!G14&lt;&gt;"",'Ownership, SOF'!G14,".N/A.")</f>
        <v>.N/A.</v>
      </c>
      <c r="I77" s="93" t="str">
        <f>IF('Ownership, SOF'!H14&lt;&gt;"",'Ownership, SOF'!H14,".N/A.")</f>
        <v>.N/A.</v>
      </c>
      <c r="J77" s="93" t="str">
        <f>IF('Ownership, SOF'!I14&lt;&gt;"",'Ownership, SOF'!I14,".N/A.")</f>
        <v>.N/A.</v>
      </c>
      <c r="K77" s="93" t="str">
        <f>IF('Ownership, SOF'!J14&lt;&gt;"",'Ownership, SOF'!J14,".N/A.")</f>
        <v>.N/A.</v>
      </c>
      <c r="L77" s="93" t="str">
        <f>IF('Ownership, SOF'!K14&lt;&gt;"",'Ownership, SOF'!K14,".N/A.")</f>
        <v>.N/A.</v>
      </c>
      <c r="M77" s="93" t="str">
        <f>IF('Ownership, SOF'!L14&lt;&gt;"",'Ownership, SOF'!L14,".N/A.")</f>
        <v>.N/A.</v>
      </c>
      <c r="N77" s="93" t="str">
        <f>IF('Ownership, SOF'!M14&lt;&gt;"",'Ownership, SOF'!M14,".N/A.")</f>
        <v>.N/A.</v>
      </c>
      <c r="O77" s="122"/>
      <c r="P77" s="80"/>
      <c r="Q77" s="80"/>
      <c r="R77" s="80"/>
      <c r="S77" s="80"/>
      <c r="T77" s="80"/>
      <c r="U77" s="80"/>
      <c r="V77" s="80"/>
      <c r="W77" s="80"/>
      <c r="X77" s="80"/>
      <c r="Y77" s="80"/>
      <c r="Z77" s="80"/>
      <c r="AA77" s="80"/>
      <c r="AB77" s="80"/>
      <c r="AC77" s="80"/>
    </row>
    <row r="78" spans="1:29" x14ac:dyDescent="0.25">
      <c r="A78" s="80" t="s">
        <v>1271</v>
      </c>
      <c r="B78" s="93" t="s">
        <v>1272</v>
      </c>
      <c r="C78" s="93" t="str">
        <f>IF('Ownership, SOF'!B15&lt;&gt;"",'Ownership, SOF'!B15,".N/A.")</f>
        <v>.N/A.</v>
      </c>
      <c r="D78" s="93" t="str">
        <f>IF('Ownership, SOF'!C15&lt;&gt;"",'Ownership, SOF'!C15,".N/A.")</f>
        <v>.N/A.</v>
      </c>
      <c r="E78" s="93" t="str">
        <f>IF('Ownership, SOF'!D15&lt;&gt;"",'Ownership, SOF'!D15,".N/A.")</f>
        <v>.N/A.</v>
      </c>
      <c r="F78" s="93" t="str">
        <f>IF('Ownership, SOF'!E15&lt;&gt;"",'Ownership, SOF'!E15,".N/A.")</f>
        <v>.N/A.</v>
      </c>
      <c r="G78" s="93" t="str">
        <f>IF('Ownership, SOF'!F15&lt;&gt;"",'Ownership, SOF'!F15,".N/A.")</f>
        <v>.N/A.</v>
      </c>
      <c r="H78" s="93" t="str">
        <f>IF('Ownership, SOF'!G15&lt;&gt;"",'Ownership, SOF'!G15,".N/A.")</f>
        <v>.N/A.</v>
      </c>
      <c r="I78" s="93" t="str">
        <f>IF('Ownership, SOF'!H15&lt;&gt;"",'Ownership, SOF'!H15,".N/A.")</f>
        <v>.N/A.</v>
      </c>
      <c r="J78" s="93" t="str">
        <f>IF('Ownership, SOF'!I15&lt;&gt;"",'Ownership, SOF'!I15,".N/A.")</f>
        <v>.N/A.</v>
      </c>
      <c r="K78" s="93" t="str">
        <f>IF('Ownership, SOF'!J15&lt;&gt;"",'Ownership, SOF'!J15,".N/A.")</f>
        <v>.N/A.</v>
      </c>
      <c r="L78" s="93" t="str">
        <f>IF('Ownership, SOF'!K15&lt;&gt;"",'Ownership, SOF'!K15,".N/A.")</f>
        <v>.N/A.</v>
      </c>
      <c r="M78" s="93" t="str">
        <f>IF('Ownership, SOF'!L15&lt;&gt;"",'Ownership, SOF'!L15,".N/A.")</f>
        <v>.N/A.</v>
      </c>
      <c r="N78" s="93" t="str">
        <f>IF('Ownership, SOF'!M15&lt;&gt;"",'Ownership, SOF'!M15,".N/A.")</f>
        <v>.N/A.</v>
      </c>
      <c r="O78" s="122"/>
      <c r="P78" s="80"/>
      <c r="Q78" s="80"/>
      <c r="R78" s="80"/>
      <c r="S78" s="80"/>
      <c r="T78" s="80"/>
      <c r="U78" s="80"/>
      <c r="V78" s="80"/>
      <c r="W78" s="80"/>
      <c r="X78" s="80"/>
      <c r="Y78" s="80"/>
      <c r="Z78" s="80"/>
      <c r="AA78" s="80"/>
      <c r="AB78" s="80"/>
      <c r="AC78" s="80"/>
    </row>
    <row r="79" spans="1:29" x14ac:dyDescent="0.25">
      <c r="A79" s="80" t="s">
        <v>1271</v>
      </c>
      <c r="B79" s="93" t="s">
        <v>1272</v>
      </c>
      <c r="C79" s="93" t="str">
        <f>IF('Ownership, SOF'!B16&lt;&gt;"",'Ownership, SOF'!B16,".N/A.")</f>
        <v>.N/A.</v>
      </c>
      <c r="D79" s="93" t="str">
        <f>IF('Ownership, SOF'!C16&lt;&gt;"",'Ownership, SOF'!C16,".N/A.")</f>
        <v>.N/A.</v>
      </c>
      <c r="E79" s="93" t="str">
        <f>IF('Ownership, SOF'!D16&lt;&gt;"",'Ownership, SOF'!D16,".N/A.")</f>
        <v>.N/A.</v>
      </c>
      <c r="F79" s="93" t="str">
        <f>IF('Ownership, SOF'!E16&lt;&gt;"",'Ownership, SOF'!E16,".N/A.")</f>
        <v>.N/A.</v>
      </c>
      <c r="G79" s="93" t="str">
        <f>IF('Ownership, SOF'!F16&lt;&gt;"",'Ownership, SOF'!F16,".N/A.")</f>
        <v>.N/A.</v>
      </c>
      <c r="H79" s="93" t="str">
        <f>IF('Ownership, SOF'!G16&lt;&gt;"",'Ownership, SOF'!G16,".N/A.")</f>
        <v>.N/A.</v>
      </c>
      <c r="I79" s="93" t="str">
        <f>IF('Ownership, SOF'!H16&lt;&gt;"",'Ownership, SOF'!H16,".N/A.")</f>
        <v>.N/A.</v>
      </c>
      <c r="J79" s="93" t="str">
        <f>IF('Ownership, SOF'!I16&lt;&gt;"",'Ownership, SOF'!I16,".N/A.")</f>
        <v>.N/A.</v>
      </c>
      <c r="K79" s="93" t="str">
        <f>IF('Ownership, SOF'!J16&lt;&gt;"",'Ownership, SOF'!J16,".N/A.")</f>
        <v>.N/A.</v>
      </c>
      <c r="L79" s="93" t="str">
        <f>IF('Ownership, SOF'!K16&lt;&gt;"",'Ownership, SOF'!K16,".N/A.")</f>
        <v>.N/A.</v>
      </c>
      <c r="M79" s="93" t="str">
        <f>IF('Ownership, SOF'!L16&lt;&gt;"",'Ownership, SOF'!L16,".N/A.")</f>
        <v>.N/A.</v>
      </c>
      <c r="N79" s="93" t="str">
        <f>IF('Ownership, SOF'!M16&lt;&gt;"",'Ownership, SOF'!M16,".N/A.")</f>
        <v>.N/A.</v>
      </c>
      <c r="O79" s="122"/>
      <c r="P79" s="80"/>
      <c r="Q79" s="80"/>
      <c r="R79" s="80"/>
      <c r="S79" s="80"/>
      <c r="T79" s="80"/>
      <c r="U79" s="80"/>
      <c r="V79" s="80"/>
      <c r="W79" s="80"/>
      <c r="X79" s="80"/>
      <c r="Y79" s="80"/>
      <c r="Z79" s="80"/>
      <c r="AA79" s="80"/>
      <c r="AB79" s="80"/>
      <c r="AC79" s="80"/>
    </row>
    <row r="80" spans="1:29" x14ac:dyDescent="0.25">
      <c r="A80" s="80" t="s">
        <v>1271</v>
      </c>
      <c r="B80" s="93" t="s">
        <v>1272</v>
      </c>
      <c r="C80" s="93" t="str">
        <f>IF('Ownership, SOF'!B17&lt;&gt;"",'Ownership, SOF'!B17,".N/A.")</f>
        <v>.N/A.</v>
      </c>
      <c r="D80" s="93" t="str">
        <f>IF('Ownership, SOF'!C17&lt;&gt;"",'Ownership, SOF'!C17,".N/A.")</f>
        <v>.N/A.</v>
      </c>
      <c r="E80" s="93" t="str">
        <f>IF('Ownership, SOF'!D17&lt;&gt;"",'Ownership, SOF'!D17,".N/A.")</f>
        <v>.N/A.</v>
      </c>
      <c r="F80" s="93" t="str">
        <f>IF('Ownership, SOF'!E17&lt;&gt;"",'Ownership, SOF'!E17,".N/A.")</f>
        <v>.N/A.</v>
      </c>
      <c r="G80" s="93" t="str">
        <f>IF('Ownership, SOF'!F17&lt;&gt;"",'Ownership, SOF'!F17,".N/A.")</f>
        <v>.N/A.</v>
      </c>
      <c r="H80" s="93" t="str">
        <f>IF('Ownership, SOF'!G17&lt;&gt;"",'Ownership, SOF'!G17,".N/A.")</f>
        <v>.N/A.</v>
      </c>
      <c r="I80" s="93" t="str">
        <f>IF('Ownership, SOF'!H17&lt;&gt;"",'Ownership, SOF'!H17,".N/A.")</f>
        <v>.N/A.</v>
      </c>
      <c r="J80" s="93" t="str">
        <f>IF('Ownership, SOF'!I17&lt;&gt;"",'Ownership, SOF'!I17,".N/A.")</f>
        <v>.N/A.</v>
      </c>
      <c r="K80" s="93" t="str">
        <f>IF('Ownership, SOF'!J17&lt;&gt;"",'Ownership, SOF'!J17,".N/A.")</f>
        <v>.N/A.</v>
      </c>
      <c r="L80" s="93" t="str">
        <f>IF('Ownership, SOF'!K17&lt;&gt;"",'Ownership, SOF'!K17,".N/A.")</f>
        <v>.N/A.</v>
      </c>
      <c r="M80" s="93" t="str">
        <f>IF('Ownership, SOF'!L17&lt;&gt;"",'Ownership, SOF'!L17,".N/A.")</f>
        <v>.N/A.</v>
      </c>
      <c r="N80" s="93" t="str">
        <f>IF('Ownership, SOF'!M17&lt;&gt;"",'Ownership, SOF'!M17,".N/A.")</f>
        <v>.N/A.</v>
      </c>
      <c r="O80" s="122"/>
      <c r="P80" s="80"/>
      <c r="Q80" s="80"/>
      <c r="R80" s="80"/>
      <c r="S80" s="80"/>
      <c r="T80" s="80"/>
      <c r="U80" s="80"/>
      <c r="V80" s="80"/>
      <c r="W80" s="80"/>
      <c r="X80" s="80"/>
      <c r="Y80" s="80"/>
      <c r="Z80" s="80"/>
      <c r="AA80" s="80"/>
      <c r="AB80" s="80"/>
      <c r="AC80" s="80"/>
    </row>
    <row r="81" spans="1:29" ht="15.75" thickBot="1" x14ac:dyDescent="0.3">
      <c r="A81" s="80" t="s">
        <v>1271</v>
      </c>
      <c r="B81" s="93" t="s">
        <v>1272</v>
      </c>
      <c r="C81" s="93" t="str">
        <f>IF('Ownership, SOF'!B18&lt;&gt;"",'Ownership, SOF'!B18,".N/A.")</f>
        <v>.N/A.</v>
      </c>
      <c r="D81" s="93" t="str">
        <f>IF('Ownership, SOF'!C18&lt;&gt;"",'Ownership, SOF'!C18,".N/A.")</f>
        <v>.N/A.</v>
      </c>
      <c r="E81" s="93" t="str">
        <f>IF('Ownership, SOF'!D18&lt;&gt;"",'Ownership, SOF'!D18,".N/A.")</f>
        <v>.N/A.</v>
      </c>
      <c r="F81" s="93" t="str">
        <f>IF('Ownership, SOF'!E18&lt;&gt;"",'Ownership, SOF'!E18,".N/A.")</f>
        <v>.N/A.</v>
      </c>
      <c r="G81" s="93" t="str">
        <f>IF('Ownership, SOF'!F18&lt;&gt;"",'Ownership, SOF'!F18,".N/A.")</f>
        <v>.N/A.</v>
      </c>
      <c r="H81" s="93" t="str">
        <f>IF('Ownership, SOF'!G18&lt;&gt;"",'Ownership, SOF'!G18,".N/A.")</f>
        <v>.N/A.</v>
      </c>
      <c r="I81" s="93" t="str">
        <f>IF('Ownership, SOF'!H18&lt;&gt;"",'Ownership, SOF'!H18,".N/A.")</f>
        <v>.N/A.</v>
      </c>
      <c r="J81" s="93" t="str">
        <f>IF('Ownership, SOF'!I18&lt;&gt;"",'Ownership, SOF'!I18,".N/A.")</f>
        <v>.N/A.</v>
      </c>
      <c r="K81" s="93" t="str">
        <f>IF('Ownership, SOF'!J18&lt;&gt;"",'Ownership, SOF'!J18,".N/A.")</f>
        <v>.N/A.</v>
      </c>
      <c r="L81" s="93" t="str">
        <f>IF('Ownership, SOF'!K18&lt;&gt;"",'Ownership, SOF'!K18,".N/A.")</f>
        <v>.N/A.</v>
      </c>
      <c r="M81" s="93" t="str">
        <f>IF('Ownership, SOF'!L18&lt;&gt;"",'Ownership, SOF'!L18,".N/A.")</f>
        <v>.N/A.</v>
      </c>
      <c r="N81" s="93" t="str">
        <f>IF('Ownership, SOF'!M18&lt;&gt;"",'Ownership, SOF'!M18,".N/A.")</f>
        <v>.N/A.</v>
      </c>
      <c r="O81" s="122"/>
      <c r="P81" s="80"/>
      <c r="Q81" s="80"/>
      <c r="R81" s="80"/>
      <c r="S81" s="80"/>
      <c r="T81" s="80"/>
      <c r="U81" s="80"/>
      <c r="V81" s="80"/>
      <c r="W81" s="80"/>
      <c r="X81" s="80"/>
      <c r="Y81" s="80"/>
      <c r="Z81" s="80"/>
      <c r="AA81" s="80"/>
      <c r="AB81" s="80"/>
      <c r="AC81" s="80"/>
    </row>
    <row r="82" spans="1:29" ht="15.75" thickBot="1" x14ac:dyDescent="0.3">
      <c r="A82" s="89" t="s">
        <v>1271</v>
      </c>
      <c r="B82" s="94" t="s">
        <v>939</v>
      </c>
      <c r="C82" s="94"/>
      <c r="D82" s="90"/>
      <c r="E82" s="95"/>
      <c r="F82" s="80"/>
      <c r="G82" s="80"/>
      <c r="H82" s="80"/>
      <c r="I82" s="80"/>
      <c r="J82" s="80"/>
      <c r="K82" s="80"/>
      <c r="L82" s="80"/>
      <c r="M82" s="80"/>
      <c r="N82" s="80"/>
      <c r="O82" s="80"/>
      <c r="P82" s="80"/>
      <c r="Q82" s="80"/>
      <c r="R82" s="80"/>
      <c r="S82" s="80"/>
      <c r="T82" s="80"/>
      <c r="U82" s="80"/>
      <c r="V82" s="80"/>
      <c r="W82" s="80"/>
      <c r="X82" s="80"/>
      <c r="Y82" s="80"/>
      <c r="Z82" s="80"/>
      <c r="AA82" s="80"/>
      <c r="AB82" s="80"/>
      <c r="AC82" s="80"/>
    </row>
    <row r="83" spans="1:29" x14ac:dyDescent="0.25">
      <c r="A83" s="123" t="s">
        <v>1271</v>
      </c>
      <c r="B83" s="124" t="s">
        <v>1273</v>
      </c>
      <c r="C83" s="124" t="e">
        <f>'Ownership, SOF'!#REF!</f>
        <v>#REF!</v>
      </c>
      <c r="D83" s="124" t="e">
        <f>'Ownership, SOF'!#REF!</f>
        <v>#REF!</v>
      </c>
      <c r="E83" s="124" t="e">
        <f>'Ownership, SOF'!#REF!</f>
        <v>#REF!</v>
      </c>
      <c r="F83" s="124" t="e">
        <f>'Ownership, SOF'!#REF!</f>
        <v>#REF!</v>
      </c>
      <c r="G83" s="124" t="e">
        <f>'Ownership, SOF'!#REF!</f>
        <v>#REF!</v>
      </c>
      <c r="H83" s="124" t="e">
        <f>'Ownership, SOF'!#REF!</f>
        <v>#REF!</v>
      </c>
      <c r="I83" s="124" t="e">
        <f>'Ownership, SOF'!#REF!</f>
        <v>#REF!</v>
      </c>
      <c r="J83" s="124" t="e">
        <f>'Ownership, SOF'!#REF!</f>
        <v>#REF!</v>
      </c>
      <c r="K83" s="124"/>
      <c r="L83" s="124"/>
      <c r="M83" s="124"/>
      <c r="N83" s="124"/>
      <c r="O83" s="124"/>
      <c r="P83" s="124"/>
      <c r="Q83" s="124"/>
      <c r="R83" s="124"/>
      <c r="S83" s="124"/>
      <c r="T83" s="124"/>
      <c r="U83" s="123"/>
      <c r="V83" s="80"/>
      <c r="W83" s="80"/>
      <c r="X83" s="80"/>
      <c r="Y83" s="80"/>
      <c r="Z83" s="80"/>
      <c r="AA83" s="80"/>
      <c r="AB83" s="80"/>
      <c r="AC83" s="80"/>
    </row>
    <row r="84" spans="1:29" x14ac:dyDescent="0.25">
      <c r="A84" s="80" t="s">
        <v>1271</v>
      </c>
      <c r="B84" s="93" t="s">
        <v>1273</v>
      </c>
      <c r="C84" s="93" t="e">
        <f>IF('Ownership, SOF'!#REF!&lt;&gt;"",'Ownership, SOF'!#REF!,".N/A.")</f>
        <v>#REF!</v>
      </c>
      <c r="D84" s="93" t="e">
        <f>IF('Ownership, SOF'!#REF!&lt;&gt;"",'Ownership, SOF'!#REF!,".N/A.")</f>
        <v>#REF!</v>
      </c>
      <c r="E84" s="93" t="e">
        <f>IF('Ownership, SOF'!#REF!&lt;&gt;"",'Ownership, SOF'!#REF!,".N/A.")</f>
        <v>#REF!</v>
      </c>
      <c r="F84" s="93" t="e">
        <f>IF('Ownership, SOF'!#REF!&lt;&gt;"",'Ownership, SOF'!#REF!,".N/A.")</f>
        <v>#REF!</v>
      </c>
      <c r="G84" s="93" t="e">
        <f>IF('Ownership, SOF'!#REF!&lt;&gt;"",'Ownership, SOF'!#REF!,".N/A.")</f>
        <v>#REF!</v>
      </c>
      <c r="H84" s="93" t="e">
        <f>IF('Ownership, SOF'!#REF!&lt;&gt;"",'Ownership, SOF'!#REF!,".N/A.")</f>
        <v>#REF!</v>
      </c>
      <c r="I84" s="93" t="e">
        <f>IF('Ownership, SOF'!#REF!&lt;&gt;"",'Ownership, SOF'!#REF!,".N/A.")</f>
        <v>#REF!</v>
      </c>
      <c r="J84" s="93" t="e">
        <f>IF('Ownership, SOF'!#REF!&lt;&gt;"",'Ownership, SOF'!#REF!,".N/A.")</f>
        <v>#REF!</v>
      </c>
      <c r="K84" s="124"/>
      <c r="L84" s="124"/>
      <c r="M84" s="93"/>
      <c r="N84" s="93"/>
      <c r="O84" s="122"/>
      <c r="P84" s="80"/>
      <c r="Q84" s="80"/>
      <c r="R84" s="80"/>
      <c r="S84" s="80"/>
      <c r="T84" s="80"/>
      <c r="U84" s="80"/>
      <c r="V84" s="80"/>
      <c r="W84" s="80"/>
      <c r="X84" s="80"/>
      <c r="Y84" s="80"/>
      <c r="Z84" s="80"/>
      <c r="AA84" s="80"/>
      <c r="AB84" s="80"/>
      <c r="AC84" s="80"/>
    </row>
    <row r="85" spans="1:29" x14ac:dyDescent="0.25">
      <c r="A85" s="80" t="s">
        <v>1271</v>
      </c>
      <c r="B85" s="93" t="s">
        <v>1273</v>
      </c>
      <c r="C85" s="93" t="e">
        <f>IF('Ownership, SOF'!#REF!&lt;&gt;"",'Ownership, SOF'!#REF!,".N/A.")</f>
        <v>#REF!</v>
      </c>
      <c r="D85" s="93" t="e">
        <f>IF('Ownership, SOF'!#REF!&lt;&gt;"",'Ownership, SOF'!#REF!,".N/A.")</f>
        <v>#REF!</v>
      </c>
      <c r="E85" s="93" t="e">
        <f>IF('Ownership, SOF'!#REF!&lt;&gt;"",'Ownership, SOF'!#REF!,".N/A.")</f>
        <v>#REF!</v>
      </c>
      <c r="F85" s="93" t="e">
        <f>IF('Ownership, SOF'!#REF!&lt;&gt;"",'Ownership, SOF'!#REF!,".N/A.")</f>
        <v>#REF!</v>
      </c>
      <c r="G85" s="93" t="e">
        <f>IF('Ownership, SOF'!#REF!&lt;&gt;"",'Ownership, SOF'!#REF!,".N/A.")</f>
        <v>#REF!</v>
      </c>
      <c r="H85" s="93" t="e">
        <f>IF('Ownership, SOF'!#REF!&lt;&gt;"",'Ownership, SOF'!#REF!,".N/A.")</f>
        <v>#REF!</v>
      </c>
      <c r="I85" s="93" t="e">
        <f>IF('Ownership, SOF'!#REF!&lt;&gt;"",'Ownership, SOF'!#REF!,".N/A.")</f>
        <v>#REF!</v>
      </c>
      <c r="J85" s="93" t="e">
        <f>IF('Ownership, SOF'!#REF!&lt;&gt;"",'Ownership, SOF'!#REF!,".N/A.")</f>
        <v>#REF!</v>
      </c>
      <c r="K85" s="93"/>
      <c r="L85" s="93"/>
      <c r="M85" s="93"/>
      <c r="N85" s="93"/>
      <c r="O85" s="122"/>
      <c r="P85" s="80"/>
      <c r="Q85" s="80"/>
      <c r="R85" s="80"/>
      <c r="S85" s="80"/>
      <c r="T85" s="80"/>
      <c r="U85" s="80"/>
      <c r="V85" s="80"/>
      <c r="W85" s="80"/>
      <c r="X85" s="80"/>
      <c r="Y85" s="80"/>
      <c r="Z85" s="80"/>
      <c r="AA85" s="80"/>
      <c r="AB85" s="80"/>
      <c r="AC85" s="80"/>
    </row>
    <row r="86" spans="1:29" x14ac:dyDescent="0.25">
      <c r="A86" s="80" t="s">
        <v>1271</v>
      </c>
      <c r="B86" s="93" t="s">
        <v>1273</v>
      </c>
      <c r="C86" s="93" t="e">
        <f>IF('Ownership, SOF'!#REF!&lt;&gt;"",'Ownership, SOF'!#REF!,".N/A.")</f>
        <v>#REF!</v>
      </c>
      <c r="D86" s="93" t="e">
        <f>IF('Ownership, SOF'!#REF!&lt;&gt;"",'Ownership, SOF'!#REF!,".N/A.")</f>
        <v>#REF!</v>
      </c>
      <c r="E86" s="93" t="e">
        <f>IF('Ownership, SOF'!#REF!&lt;&gt;"",'Ownership, SOF'!#REF!,".N/A.")</f>
        <v>#REF!</v>
      </c>
      <c r="F86" s="93" t="e">
        <f>IF('Ownership, SOF'!#REF!&lt;&gt;"",'Ownership, SOF'!#REF!,".N/A.")</f>
        <v>#REF!</v>
      </c>
      <c r="G86" s="93" t="e">
        <f>IF('Ownership, SOF'!#REF!&lt;&gt;"",'Ownership, SOF'!#REF!,".N/A.")</f>
        <v>#REF!</v>
      </c>
      <c r="H86" s="93" t="e">
        <f>IF('Ownership, SOF'!#REF!&lt;&gt;"",'Ownership, SOF'!#REF!,".N/A.")</f>
        <v>#REF!</v>
      </c>
      <c r="I86" s="93" t="e">
        <f>IF('Ownership, SOF'!#REF!&lt;&gt;"",'Ownership, SOF'!#REF!,".N/A.")</f>
        <v>#REF!</v>
      </c>
      <c r="J86" s="93" t="e">
        <f>IF('Ownership, SOF'!#REF!&lt;&gt;"",'Ownership, SOF'!#REF!,".N/A.")</f>
        <v>#REF!</v>
      </c>
      <c r="K86" s="93"/>
      <c r="L86" s="93"/>
      <c r="M86" s="93"/>
      <c r="N86" s="93"/>
      <c r="O86" s="122"/>
      <c r="P86" s="80"/>
      <c r="Q86" s="80"/>
      <c r="R86" s="80"/>
      <c r="S86" s="80"/>
      <c r="T86" s="80"/>
      <c r="U86" s="80"/>
      <c r="V86" s="80"/>
      <c r="W86" s="80"/>
      <c r="X86" s="80"/>
      <c r="Y86" s="80"/>
      <c r="Z86" s="80"/>
      <c r="AA86" s="80"/>
      <c r="AB86" s="80"/>
      <c r="AC86" s="80"/>
    </row>
    <row r="87" spans="1:29" x14ac:dyDescent="0.25">
      <c r="A87" s="80" t="s">
        <v>1271</v>
      </c>
      <c r="B87" s="93" t="s">
        <v>1273</v>
      </c>
      <c r="C87" s="93" t="e">
        <f>IF('Ownership, SOF'!#REF!&lt;&gt;"",'Ownership, SOF'!#REF!,".N/A.")</f>
        <v>#REF!</v>
      </c>
      <c r="D87" s="93" t="e">
        <f>IF('Ownership, SOF'!#REF!&lt;&gt;"",'Ownership, SOF'!#REF!,".N/A.")</f>
        <v>#REF!</v>
      </c>
      <c r="E87" s="93" t="e">
        <f>IF('Ownership, SOF'!#REF!&lt;&gt;"",'Ownership, SOF'!#REF!,".N/A.")</f>
        <v>#REF!</v>
      </c>
      <c r="F87" s="93" t="e">
        <f>IF('Ownership, SOF'!#REF!&lt;&gt;"",'Ownership, SOF'!#REF!,".N/A.")</f>
        <v>#REF!</v>
      </c>
      <c r="G87" s="93" t="e">
        <f>IF('Ownership, SOF'!#REF!&lt;&gt;"",'Ownership, SOF'!#REF!,".N/A.")</f>
        <v>#REF!</v>
      </c>
      <c r="H87" s="93" t="e">
        <f>IF('Ownership, SOF'!#REF!&lt;&gt;"",'Ownership, SOF'!#REF!,".N/A.")</f>
        <v>#REF!</v>
      </c>
      <c r="I87" s="93" t="e">
        <f>IF('Ownership, SOF'!#REF!&lt;&gt;"",'Ownership, SOF'!#REF!,".N/A.")</f>
        <v>#REF!</v>
      </c>
      <c r="J87" s="93" t="e">
        <f>IF('Ownership, SOF'!#REF!&lt;&gt;"",'Ownership, SOF'!#REF!,".N/A.")</f>
        <v>#REF!</v>
      </c>
      <c r="K87" s="93"/>
      <c r="L87" s="93"/>
      <c r="M87" s="93"/>
      <c r="N87" s="93"/>
      <c r="O87" s="122"/>
      <c r="P87" s="80"/>
      <c r="Q87" s="80"/>
      <c r="R87" s="80"/>
      <c r="S87" s="80"/>
      <c r="T87" s="80"/>
      <c r="U87" s="80"/>
      <c r="V87" s="80"/>
      <c r="W87" s="80"/>
      <c r="X87" s="80"/>
      <c r="Y87" s="80"/>
      <c r="Z87" s="80"/>
      <c r="AA87" s="80"/>
      <c r="AB87" s="80"/>
      <c r="AC87" s="80"/>
    </row>
    <row r="88" spans="1:29" x14ac:dyDescent="0.25">
      <c r="A88" s="80" t="s">
        <v>1271</v>
      </c>
      <c r="B88" s="93" t="s">
        <v>1273</v>
      </c>
      <c r="C88" s="93" t="e">
        <f>IF('Ownership, SOF'!#REF!&lt;&gt;"",'Ownership, SOF'!#REF!,".N/A.")</f>
        <v>#REF!</v>
      </c>
      <c r="D88" s="93" t="e">
        <f>IF('Ownership, SOF'!#REF!&lt;&gt;"",'Ownership, SOF'!#REF!,".N/A.")</f>
        <v>#REF!</v>
      </c>
      <c r="E88" s="93" t="e">
        <f>IF('Ownership, SOF'!#REF!&lt;&gt;"",'Ownership, SOF'!#REF!,".N/A.")</f>
        <v>#REF!</v>
      </c>
      <c r="F88" s="93" t="e">
        <f>IF('Ownership, SOF'!#REF!&lt;&gt;"",'Ownership, SOF'!#REF!,".N/A.")</f>
        <v>#REF!</v>
      </c>
      <c r="G88" s="93" t="e">
        <f>IF('Ownership, SOF'!#REF!&lt;&gt;"",'Ownership, SOF'!#REF!,".N/A.")</f>
        <v>#REF!</v>
      </c>
      <c r="H88" s="93" t="e">
        <f>IF('Ownership, SOF'!#REF!&lt;&gt;"",'Ownership, SOF'!#REF!,".N/A.")</f>
        <v>#REF!</v>
      </c>
      <c r="I88" s="93" t="e">
        <f>IF('Ownership, SOF'!#REF!&lt;&gt;"",'Ownership, SOF'!#REF!,".N/A.")</f>
        <v>#REF!</v>
      </c>
      <c r="J88" s="93" t="e">
        <f>IF('Ownership, SOF'!#REF!&lt;&gt;"",'Ownership, SOF'!#REF!,".N/A.")</f>
        <v>#REF!</v>
      </c>
      <c r="K88" s="93"/>
      <c r="L88" s="93"/>
      <c r="M88" s="93"/>
      <c r="N88" s="93"/>
      <c r="O88" s="122"/>
      <c r="P88" s="80"/>
      <c r="Q88" s="80"/>
      <c r="R88" s="80"/>
      <c r="S88" s="80"/>
      <c r="T88" s="80"/>
      <c r="U88" s="80"/>
      <c r="V88" s="80"/>
      <c r="W88" s="80"/>
      <c r="X88" s="80"/>
      <c r="Y88" s="80"/>
      <c r="Z88" s="80"/>
      <c r="AA88" s="80"/>
      <c r="AB88" s="80"/>
      <c r="AC88" s="80"/>
    </row>
    <row r="89" spans="1:29" x14ac:dyDescent="0.25">
      <c r="A89" s="80" t="s">
        <v>1271</v>
      </c>
      <c r="B89" s="93" t="s">
        <v>1273</v>
      </c>
      <c r="C89" s="93" t="e">
        <f>IF('Ownership, SOF'!#REF!&lt;&gt;"",'Ownership, SOF'!#REF!,".N/A.")</f>
        <v>#REF!</v>
      </c>
      <c r="D89" s="93" t="e">
        <f>IF('Ownership, SOF'!#REF!&lt;&gt;"",'Ownership, SOF'!#REF!,".N/A.")</f>
        <v>#REF!</v>
      </c>
      <c r="E89" s="93" t="e">
        <f>IF('Ownership, SOF'!#REF!&lt;&gt;"",'Ownership, SOF'!#REF!,".N/A.")</f>
        <v>#REF!</v>
      </c>
      <c r="F89" s="93" t="e">
        <f>IF('Ownership, SOF'!#REF!&lt;&gt;"",'Ownership, SOF'!#REF!,".N/A.")</f>
        <v>#REF!</v>
      </c>
      <c r="G89" s="93" t="e">
        <f>IF('Ownership, SOF'!#REF!&lt;&gt;"",'Ownership, SOF'!#REF!,".N/A.")</f>
        <v>#REF!</v>
      </c>
      <c r="H89" s="93" t="e">
        <f>IF('Ownership, SOF'!#REF!&lt;&gt;"",'Ownership, SOF'!#REF!,".N/A.")</f>
        <v>#REF!</v>
      </c>
      <c r="I89" s="93" t="e">
        <f>IF('Ownership, SOF'!#REF!&lt;&gt;"",'Ownership, SOF'!#REF!,".N/A.")</f>
        <v>#REF!</v>
      </c>
      <c r="J89" s="93" t="e">
        <f>IF('Ownership, SOF'!#REF!&lt;&gt;"",'Ownership, SOF'!#REF!,".N/A.")</f>
        <v>#REF!</v>
      </c>
      <c r="K89" s="93"/>
      <c r="L89" s="93"/>
      <c r="M89" s="93"/>
      <c r="N89" s="93"/>
      <c r="O89" s="122"/>
      <c r="P89" s="80"/>
      <c r="Q89" s="80"/>
      <c r="R89" s="80"/>
      <c r="S89" s="80"/>
      <c r="T89" s="80"/>
      <c r="U89" s="80"/>
      <c r="V89" s="80"/>
      <c r="W89" s="80"/>
      <c r="X89" s="80"/>
      <c r="Y89" s="80"/>
      <c r="Z89" s="80"/>
      <c r="AA89" s="80"/>
      <c r="AB89" s="80"/>
      <c r="AC89" s="80"/>
    </row>
    <row r="90" spans="1:29" x14ac:dyDescent="0.25">
      <c r="A90" s="80" t="s">
        <v>1271</v>
      </c>
      <c r="B90" s="93" t="s">
        <v>1273</v>
      </c>
      <c r="C90" s="93" t="e">
        <f>IF('Ownership, SOF'!#REF!&lt;&gt;"",'Ownership, SOF'!#REF!,".N/A.")</f>
        <v>#REF!</v>
      </c>
      <c r="D90" s="93" t="e">
        <f>IF('Ownership, SOF'!#REF!&lt;&gt;"",'Ownership, SOF'!#REF!,".N/A.")</f>
        <v>#REF!</v>
      </c>
      <c r="E90" s="93" t="e">
        <f>IF('Ownership, SOF'!#REF!&lt;&gt;"",'Ownership, SOF'!#REF!,".N/A.")</f>
        <v>#REF!</v>
      </c>
      <c r="F90" s="93" t="e">
        <f>IF('Ownership, SOF'!#REF!&lt;&gt;"",'Ownership, SOF'!#REF!,".N/A.")</f>
        <v>#REF!</v>
      </c>
      <c r="G90" s="93" t="e">
        <f>IF('Ownership, SOF'!#REF!&lt;&gt;"",'Ownership, SOF'!#REF!,".N/A.")</f>
        <v>#REF!</v>
      </c>
      <c r="H90" s="93" t="e">
        <f>IF('Ownership, SOF'!#REF!&lt;&gt;"",'Ownership, SOF'!#REF!,".N/A.")</f>
        <v>#REF!</v>
      </c>
      <c r="I90" s="93" t="e">
        <f>IF('Ownership, SOF'!#REF!&lt;&gt;"",'Ownership, SOF'!#REF!,".N/A.")</f>
        <v>#REF!</v>
      </c>
      <c r="J90" s="93" t="e">
        <f>IF('Ownership, SOF'!#REF!&lt;&gt;"",'Ownership, SOF'!#REF!,".N/A.")</f>
        <v>#REF!</v>
      </c>
      <c r="K90" s="93"/>
      <c r="L90" s="93"/>
      <c r="M90" s="93"/>
      <c r="N90" s="93"/>
      <c r="O90" s="122"/>
      <c r="P90" s="80"/>
      <c r="Q90" s="80"/>
      <c r="R90" s="80"/>
      <c r="S90" s="80"/>
      <c r="T90" s="80"/>
      <c r="U90" s="80"/>
      <c r="V90" s="80"/>
      <c r="W90" s="80"/>
      <c r="X90" s="80"/>
      <c r="Y90" s="80"/>
      <c r="Z90" s="80"/>
      <c r="AA90" s="80"/>
      <c r="AB90" s="80"/>
      <c r="AC90" s="80"/>
    </row>
    <row r="91" spans="1:29" x14ac:dyDescent="0.25">
      <c r="A91" s="80" t="s">
        <v>1271</v>
      </c>
      <c r="B91" s="93" t="s">
        <v>1273</v>
      </c>
      <c r="C91" s="93" t="e">
        <f>IF('Ownership, SOF'!#REF!&lt;&gt;"",'Ownership, SOF'!#REF!,".N/A.")</f>
        <v>#REF!</v>
      </c>
      <c r="D91" s="93" t="e">
        <f>IF('Ownership, SOF'!#REF!&lt;&gt;"",'Ownership, SOF'!#REF!,".N/A.")</f>
        <v>#REF!</v>
      </c>
      <c r="E91" s="93" t="e">
        <f>IF('Ownership, SOF'!#REF!&lt;&gt;"",'Ownership, SOF'!#REF!,".N/A.")</f>
        <v>#REF!</v>
      </c>
      <c r="F91" s="93" t="e">
        <f>IF('Ownership, SOF'!#REF!&lt;&gt;"",'Ownership, SOF'!#REF!,".N/A.")</f>
        <v>#REF!</v>
      </c>
      <c r="G91" s="93" t="e">
        <f>IF('Ownership, SOF'!#REF!&lt;&gt;"",'Ownership, SOF'!#REF!,".N/A.")</f>
        <v>#REF!</v>
      </c>
      <c r="H91" s="93" t="e">
        <f>IF('Ownership, SOF'!#REF!&lt;&gt;"",'Ownership, SOF'!#REF!,".N/A.")</f>
        <v>#REF!</v>
      </c>
      <c r="I91" s="93" t="e">
        <f>IF('Ownership, SOF'!#REF!&lt;&gt;"",'Ownership, SOF'!#REF!,".N/A.")</f>
        <v>#REF!</v>
      </c>
      <c r="J91" s="93" t="e">
        <f>IF('Ownership, SOF'!#REF!&lt;&gt;"",'Ownership, SOF'!#REF!,".N/A.")</f>
        <v>#REF!</v>
      </c>
      <c r="K91" s="93"/>
      <c r="L91" s="93"/>
      <c r="M91" s="93"/>
      <c r="N91" s="93"/>
      <c r="O91" s="122"/>
      <c r="P91" s="80"/>
      <c r="Q91" s="80"/>
      <c r="R91" s="80"/>
      <c r="S91" s="80"/>
      <c r="T91" s="80"/>
      <c r="U91" s="80"/>
      <c r="V91" s="80"/>
      <c r="W91" s="80"/>
      <c r="X91" s="80"/>
      <c r="Y91" s="80"/>
      <c r="Z91" s="80"/>
      <c r="AA91" s="80"/>
      <c r="AB91" s="80"/>
      <c r="AC91" s="80"/>
    </row>
    <row r="92" spans="1:29" x14ac:dyDescent="0.25">
      <c r="A92" s="80" t="s">
        <v>1271</v>
      </c>
      <c r="B92" s="93" t="s">
        <v>1273</v>
      </c>
      <c r="C92" s="93" t="e">
        <f>IF('Ownership, SOF'!#REF!&lt;&gt;"",'Ownership, SOF'!#REF!,".N/A.")</f>
        <v>#REF!</v>
      </c>
      <c r="D92" s="93" t="e">
        <f>IF('Ownership, SOF'!#REF!&lt;&gt;"",'Ownership, SOF'!#REF!,".N/A.")</f>
        <v>#REF!</v>
      </c>
      <c r="E92" s="93" t="e">
        <f>IF('Ownership, SOF'!#REF!&lt;&gt;"",'Ownership, SOF'!#REF!,".N/A.")</f>
        <v>#REF!</v>
      </c>
      <c r="F92" s="93" t="e">
        <f>IF('Ownership, SOF'!#REF!&lt;&gt;"",'Ownership, SOF'!#REF!,".N/A.")</f>
        <v>#REF!</v>
      </c>
      <c r="G92" s="93" t="e">
        <f>IF('Ownership, SOF'!#REF!&lt;&gt;"",'Ownership, SOF'!#REF!,".N/A.")</f>
        <v>#REF!</v>
      </c>
      <c r="H92" s="93" t="e">
        <f>IF('Ownership, SOF'!#REF!&lt;&gt;"",'Ownership, SOF'!#REF!,".N/A.")</f>
        <v>#REF!</v>
      </c>
      <c r="I92" s="93" t="e">
        <f>IF('Ownership, SOF'!#REF!&lt;&gt;"",'Ownership, SOF'!#REF!,".N/A.")</f>
        <v>#REF!</v>
      </c>
      <c r="J92" s="93" t="e">
        <f>IF('Ownership, SOF'!#REF!&lt;&gt;"",'Ownership, SOF'!#REF!,".N/A.")</f>
        <v>#REF!</v>
      </c>
      <c r="K92" s="93"/>
      <c r="L92" s="93"/>
      <c r="M92" s="93"/>
      <c r="N92" s="93"/>
      <c r="O92" s="122"/>
      <c r="P92" s="80"/>
      <c r="Q92" s="80"/>
      <c r="R92" s="80"/>
      <c r="S92" s="80"/>
      <c r="T92" s="80"/>
      <c r="U92" s="80"/>
      <c r="V92" s="80"/>
      <c r="W92" s="80"/>
      <c r="X92" s="80"/>
      <c r="Y92" s="80"/>
      <c r="Z92" s="80"/>
      <c r="AA92" s="80"/>
      <c r="AB92" s="80"/>
      <c r="AC92" s="80"/>
    </row>
    <row r="93" spans="1:29" ht="15.75" thickBot="1" x14ac:dyDescent="0.3">
      <c r="A93" s="80" t="s">
        <v>1271</v>
      </c>
      <c r="B93" s="93" t="s">
        <v>1273</v>
      </c>
      <c r="C93" s="93" t="e">
        <f>IF('Ownership, SOF'!#REF!&lt;&gt;"",'Ownership, SOF'!#REF!,".N/A.")</f>
        <v>#REF!</v>
      </c>
      <c r="D93" s="93" t="e">
        <f>IF('Ownership, SOF'!#REF!&lt;&gt;"",'Ownership, SOF'!#REF!,".N/A.")</f>
        <v>#REF!</v>
      </c>
      <c r="E93" s="93" t="e">
        <f>IF('Ownership, SOF'!#REF!&lt;&gt;"",'Ownership, SOF'!#REF!,".N/A.")</f>
        <v>#REF!</v>
      </c>
      <c r="F93" s="93" t="e">
        <f>IF('Ownership, SOF'!#REF!&lt;&gt;"",'Ownership, SOF'!#REF!,".N/A.")</f>
        <v>#REF!</v>
      </c>
      <c r="G93" s="93" t="e">
        <f>IF('Ownership, SOF'!#REF!&lt;&gt;"",'Ownership, SOF'!#REF!,".N/A.")</f>
        <v>#REF!</v>
      </c>
      <c r="H93" s="93" t="e">
        <f>IF('Ownership, SOF'!#REF!&lt;&gt;"",'Ownership, SOF'!#REF!,".N/A.")</f>
        <v>#REF!</v>
      </c>
      <c r="I93" s="93" t="e">
        <f>IF('Ownership, SOF'!#REF!&lt;&gt;"",'Ownership, SOF'!#REF!,".N/A.")</f>
        <v>#REF!</v>
      </c>
      <c r="J93" s="93" t="e">
        <f>IF('Ownership, SOF'!#REF!&lt;&gt;"",'Ownership, SOF'!#REF!,".N/A.")</f>
        <v>#REF!</v>
      </c>
      <c r="K93" s="93"/>
      <c r="L93" s="93"/>
      <c r="M93" s="93"/>
      <c r="N93" s="93"/>
      <c r="O93" s="122"/>
      <c r="P93" s="80"/>
      <c r="Q93" s="80"/>
      <c r="R93" s="80"/>
      <c r="S93" s="80"/>
      <c r="T93" s="80"/>
      <c r="U93" s="80"/>
      <c r="V93" s="80"/>
      <c r="W93" s="80"/>
      <c r="X93" s="80"/>
      <c r="Y93" s="80"/>
      <c r="Z93" s="80"/>
      <c r="AA93" s="80"/>
      <c r="AB93" s="80"/>
      <c r="AC93" s="80"/>
    </row>
    <row r="94" spans="1:29" ht="15.75" thickBot="1" x14ac:dyDescent="0.3">
      <c r="A94" s="89" t="s">
        <v>1151</v>
      </c>
      <c r="B94" s="94" t="s">
        <v>939</v>
      </c>
      <c r="C94" s="94"/>
      <c r="D94" s="90"/>
      <c r="E94" s="95"/>
      <c r="F94" s="93"/>
      <c r="G94" s="93"/>
      <c r="H94" s="93"/>
      <c r="I94" s="93"/>
      <c r="J94" s="93"/>
      <c r="K94" s="93"/>
      <c r="L94" s="93"/>
      <c r="M94" s="93"/>
      <c r="N94" s="93"/>
      <c r="O94" s="80"/>
      <c r="P94" s="80"/>
      <c r="Q94" s="80"/>
      <c r="R94" s="80"/>
      <c r="S94" s="80"/>
      <c r="T94" s="80"/>
      <c r="U94" s="80"/>
      <c r="V94" s="80"/>
      <c r="W94" s="80"/>
      <c r="X94" s="80"/>
      <c r="Y94" s="80"/>
      <c r="Z94" s="80"/>
      <c r="AA94" s="80"/>
      <c r="AB94" s="80"/>
      <c r="AC94" s="80"/>
    </row>
    <row r="95" spans="1:29" x14ac:dyDescent="0.25">
      <c r="A95" s="123" t="s">
        <v>1151</v>
      </c>
      <c r="B95" s="123" t="s">
        <v>1151</v>
      </c>
      <c r="C95" s="124" t="str">
        <f>'Representatives and Acc. Users'!B8</f>
        <v>Bitstamp Account User (if applicable, see above)</v>
      </c>
      <c r="D95" s="124" t="str">
        <f>'Representatives and Acc. Users'!C8</f>
        <v>Role / Title in the Legal Entity</v>
      </c>
      <c r="E95" s="124" t="str">
        <f>'Representatives and Acc. Users'!D8</f>
        <v>Name</v>
      </c>
      <c r="F95" s="124" t="str">
        <f>'Representatives and Acc. Users'!E8</f>
        <v>Surname</v>
      </c>
      <c r="G95" s="124" t="str">
        <f>'Representatives and Acc. Users'!F8</f>
        <v>Date of Birth</v>
      </c>
      <c r="H95" s="124" t="str">
        <f>'Representatives and Acc. Users'!G8</f>
        <v xml:space="preserve">Nationality </v>
      </c>
      <c r="I95" s="124" t="str">
        <f>'Representatives and Acc. Users'!H8</f>
        <v>Address</v>
      </c>
      <c r="J95" s="124" t="str">
        <f>'Representatives and Acc. Users'!I8</f>
        <v>Post Code</v>
      </c>
      <c r="K95" s="124" t="str">
        <f>'Representatives and Acc. Users'!J8</f>
        <v xml:space="preserve">City </v>
      </c>
      <c r="L95" s="124" t="str">
        <f>'Representatives and Acc. Users'!K8</f>
        <v>Country of Residence</v>
      </c>
      <c r="M95" s="124" t="str">
        <f>'Representatives and Acc. Users'!L8</f>
        <v>State of Residence 
(US only)</v>
      </c>
      <c r="N95" s="124" t="str">
        <f>'Representatives and Acc. Users'!M8</f>
        <v>Social Security Number
(if applicable)</v>
      </c>
      <c r="O95" s="124"/>
      <c r="P95" s="124"/>
      <c r="Q95" s="124"/>
      <c r="R95" s="124"/>
      <c r="S95" s="124"/>
      <c r="T95" s="124" t="e">
        <f>#REF!</f>
        <v>#REF!</v>
      </c>
      <c r="U95" s="123"/>
      <c r="V95" s="80"/>
      <c r="W95" s="80"/>
      <c r="X95" s="80"/>
      <c r="Y95" s="80"/>
      <c r="Z95" s="80"/>
      <c r="AA95" s="80"/>
      <c r="AB95" s="80"/>
      <c r="AC95" s="80"/>
    </row>
    <row r="96" spans="1:29" x14ac:dyDescent="0.25">
      <c r="A96" s="80" t="s">
        <v>1151</v>
      </c>
      <c r="B96" s="80" t="s">
        <v>1151</v>
      </c>
      <c r="C96" s="93" t="str">
        <f>IF('Representatives and Acc. Users'!B9&lt;&gt;"",'Representatives and Acc. Users'!B9,".N/A.")</f>
        <v>.N/A.</v>
      </c>
      <c r="D96" s="93" t="str">
        <f>IF('Representatives and Acc. Users'!C9&lt;&gt;"",'Representatives and Acc. Users'!C9,".N/A.")</f>
        <v>.N/A.</v>
      </c>
      <c r="E96" s="93" t="str">
        <f>IF('Representatives and Acc. Users'!D9&lt;&gt;"",'Representatives and Acc. Users'!D9,".N/A.")</f>
        <v>.N/A.</v>
      </c>
      <c r="F96" s="93" t="str">
        <f>IF('Representatives and Acc. Users'!E9&lt;&gt;"",'Representatives and Acc. Users'!E9,".N/A.")</f>
        <v>.N/A.</v>
      </c>
      <c r="G96" s="93" t="str">
        <f>IF('Representatives and Acc. Users'!F9&lt;&gt;"",'Representatives and Acc. Users'!F9,".N/A.")</f>
        <v>.N/A.</v>
      </c>
      <c r="H96" s="93" t="str">
        <f>IF('Representatives and Acc. Users'!G9&lt;&gt;"",'Representatives and Acc. Users'!G9,".N/A.")</f>
        <v>.N/A.</v>
      </c>
      <c r="I96" s="93" t="str">
        <f>IF('Representatives and Acc. Users'!H9&lt;&gt;"",'Representatives and Acc. Users'!H9,".N/A.")</f>
        <v>.N/A.</v>
      </c>
      <c r="J96" s="93" t="str">
        <f>IF('Representatives and Acc. Users'!I9&lt;&gt;"",'Representatives and Acc. Users'!I9,".N/A.")</f>
        <v>.N/A.</v>
      </c>
      <c r="K96" s="93" t="str">
        <f>IF('Representatives and Acc. Users'!J9&lt;&gt;"",'Representatives and Acc. Users'!J9,".N/A.")</f>
        <v>.N/A.</v>
      </c>
      <c r="L96" s="93" t="str">
        <f>IF('Representatives and Acc. Users'!K9&lt;&gt;"",'Representatives and Acc. Users'!K9,".N/A.")</f>
        <v>.N/A.</v>
      </c>
      <c r="M96" s="93" t="str">
        <f>IF('Representatives and Acc. Users'!L9&lt;&gt;"",'Representatives and Acc. Users'!L9,".N/A.")</f>
        <v>.N/A.</v>
      </c>
      <c r="N96" s="93" t="str">
        <f>IF('Representatives and Acc. Users'!M9&lt;&gt;"",'Representatives and Acc. Users'!M9,".N/A.")</f>
        <v>.N/A.</v>
      </c>
      <c r="O96" s="122"/>
      <c r="P96" s="80"/>
      <c r="Q96" s="80"/>
      <c r="R96" s="80"/>
      <c r="S96" s="80"/>
      <c r="T96" s="80" t="e">
        <f>IF(#REF!&lt;&gt;"",#REF!,".N/A.")</f>
        <v>#REF!</v>
      </c>
      <c r="U96" s="80"/>
      <c r="V96" s="80"/>
      <c r="W96" s="80"/>
      <c r="X96" s="80"/>
      <c r="Y96" s="80"/>
      <c r="Z96" s="80"/>
      <c r="AA96" s="80"/>
      <c r="AB96" s="80"/>
      <c r="AC96" s="80"/>
    </row>
    <row r="97" spans="1:29" x14ac:dyDescent="0.25">
      <c r="A97" s="80" t="s">
        <v>1151</v>
      </c>
      <c r="B97" s="80" t="s">
        <v>1151</v>
      </c>
      <c r="C97" s="93" t="str">
        <f>IF('Representatives and Acc. Users'!B10&lt;&gt;"",'Representatives and Acc. Users'!B10,".N/A.")</f>
        <v>.N/A.</v>
      </c>
      <c r="D97" s="93" t="str">
        <f>IF('Representatives and Acc. Users'!C10&lt;&gt;"",'Representatives and Acc. Users'!C10,".N/A.")</f>
        <v>.N/A.</v>
      </c>
      <c r="E97" s="93" t="str">
        <f>IF('Representatives and Acc. Users'!D10&lt;&gt;"",'Representatives and Acc. Users'!D10,".N/A.")</f>
        <v>.N/A.</v>
      </c>
      <c r="F97" s="93" t="str">
        <f>IF('Representatives and Acc. Users'!E10&lt;&gt;"",'Representatives and Acc. Users'!E10,".N/A.")</f>
        <v>.N/A.</v>
      </c>
      <c r="G97" s="93" t="str">
        <f>IF('Representatives and Acc. Users'!F10&lt;&gt;"",'Representatives and Acc. Users'!F10,".N/A.")</f>
        <v>.N/A.</v>
      </c>
      <c r="H97" s="93" t="str">
        <f>IF('Representatives and Acc. Users'!G10&lt;&gt;"",'Representatives and Acc. Users'!G10,".N/A.")</f>
        <v>.N/A.</v>
      </c>
      <c r="I97" s="93" t="str">
        <f>IF('Representatives and Acc. Users'!H10&lt;&gt;"",'Representatives and Acc. Users'!H10,".N/A.")</f>
        <v>.N/A.</v>
      </c>
      <c r="J97" s="93" t="str">
        <f>IF('Representatives and Acc. Users'!I10&lt;&gt;"",'Representatives and Acc. Users'!I10,".N/A.")</f>
        <v>.N/A.</v>
      </c>
      <c r="K97" s="93" t="str">
        <f>IF('Representatives and Acc. Users'!J10&lt;&gt;"",'Representatives and Acc. Users'!J10,".N/A.")</f>
        <v>.N/A.</v>
      </c>
      <c r="L97" s="93" t="str">
        <f>IF('Representatives and Acc. Users'!K10&lt;&gt;"",'Representatives and Acc. Users'!K10,".N/A.")</f>
        <v>.N/A.</v>
      </c>
      <c r="M97" s="93" t="str">
        <f>IF('Representatives and Acc. Users'!L10&lt;&gt;"",'Representatives and Acc. Users'!L10,".N/A.")</f>
        <v>.N/A.</v>
      </c>
      <c r="N97" s="93" t="str">
        <f>IF('Representatives and Acc. Users'!M10&lt;&gt;"",'Representatives and Acc. Users'!M10,".N/A.")</f>
        <v>.N/A.</v>
      </c>
      <c r="O97" s="122"/>
      <c r="P97" s="80"/>
      <c r="Q97" s="80"/>
      <c r="R97" s="80"/>
      <c r="S97" s="80"/>
      <c r="T97" s="80" t="e">
        <f>IF(#REF!&lt;&gt;"",#REF!,".N/A.")</f>
        <v>#REF!</v>
      </c>
      <c r="U97" s="80"/>
      <c r="V97" s="80"/>
      <c r="W97" s="80"/>
      <c r="X97" s="80"/>
      <c r="Y97" s="80"/>
      <c r="Z97" s="80"/>
      <c r="AA97" s="80"/>
      <c r="AB97" s="80"/>
      <c r="AC97" s="80"/>
    </row>
    <row r="98" spans="1:29" x14ac:dyDescent="0.25">
      <c r="A98" s="80" t="s">
        <v>1151</v>
      </c>
      <c r="B98" s="80" t="s">
        <v>1151</v>
      </c>
      <c r="C98" s="93" t="str">
        <f>IF('Representatives and Acc. Users'!B11&lt;&gt;"",'Representatives and Acc. Users'!B11,".N/A.")</f>
        <v>.N/A.</v>
      </c>
      <c r="D98" s="93" t="str">
        <f>IF('Representatives and Acc. Users'!C11&lt;&gt;"",'Representatives and Acc. Users'!C11,".N/A.")</f>
        <v>.N/A.</v>
      </c>
      <c r="E98" s="93" t="str">
        <f>IF('Representatives and Acc. Users'!D11&lt;&gt;"",'Representatives and Acc. Users'!D11,".N/A.")</f>
        <v>.N/A.</v>
      </c>
      <c r="F98" s="93" t="str">
        <f>IF('Representatives and Acc. Users'!E11&lt;&gt;"",'Representatives and Acc. Users'!E11,".N/A.")</f>
        <v>.N/A.</v>
      </c>
      <c r="G98" s="93" t="str">
        <f>IF('Representatives and Acc. Users'!F11&lt;&gt;"",'Representatives and Acc. Users'!F11,".N/A.")</f>
        <v>.N/A.</v>
      </c>
      <c r="H98" s="93" t="str">
        <f>IF('Representatives and Acc. Users'!G11&lt;&gt;"",'Representatives and Acc. Users'!G11,".N/A.")</f>
        <v>.N/A.</v>
      </c>
      <c r="I98" s="93" t="str">
        <f>IF('Representatives and Acc. Users'!H11&lt;&gt;"",'Representatives and Acc. Users'!H11,".N/A.")</f>
        <v>.N/A.</v>
      </c>
      <c r="J98" s="93" t="str">
        <f>IF('Representatives and Acc. Users'!I11&lt;&gt;"",'Representatives and Acc. Users'!I11,".N/A.")</f>
        <v>.N/A.</v>
      </c>
      <c r="K98" s="93" t="str">
        <f>IF('Representatives and Acc. Users'!J11&lt;&gt;"",'Representatives and Acc. Users'!J11,".N/A.")</f>
        <v>.N/A.</v>
      </c>
      <c r="L98" s="93" t="str">
        <f>IF('Representatives and Acc. Users'!K11&lt;&gt;"",'Representatives and Acc. Users'!K11,".N/A.")</f>
        <v>.N/A.</v>
      </c>
      <c r="M98" s="93" t="str">
        <f>IF('Representatives and Acc. Users'!L11&lt;&gt;"",'Representatives and Acc. Users'!L11,".N/A.")</f>
        <v>.N/A.</v>
      </c>
      <c r="N98" s="93" t="str">
        <f>IF('Representatives and Acc. Users'!M11&lt;&gt;"",'Representatives and Acc. Users'!M11,".N/A.")</f>
        <v>.N/A.</v>
      </c>
      <c r="O98" s="122"/>
      <c r="P98" s="80"/>
      <c r="Q98" s="80"/>
      <c r="R98" s="80"/>
      <c r="S98" s="80"/>
      <c r="T98" s="80" t="e">
        <f>IF(#REF!&lt;&gt;"",#REF!,".N/A.")</f>
        <v>#REF!</v>
      </c>
      <c r="U98" s="80"/>
      <c r="V98" s="80"/>
      <c r="W98" s="80"/>
      <c r="X98" s="80"/>
      <c r="Y98" s="80"/>
      <c r="Z98" s="80"/>
      <c r="AA98" s="80"/>
      <c r="AB98" s="80"/>
      <c r="AC98" s="80"/>
    </row>
    <row r="99" spans="1:29" x14ac:dyDescent="0.25">
      <c r="A99" s="80" t="s">
        <v>1151</v>
      </c>
      <c r="B99" s="80" t="s">
        <v>1151</v>
      </c>
      <c r="C99" s="93" t="str">
        <f>IF('Representatives and Acc. Users'!B12&lt;&gt;"",'Representatives and Acc. Users'!B12,".N/A.")</f>
        <v>.N/A.</v>
      </c>
      <c r="D99" s="93" t="str">
        <f>IF('Representatives and Acc. Users'!C12&lt;&gt;"",'Representatives and Acc. Users'!C12,".N/A.")</f>
        <v>.N/A.</v>
      </c>
      <c r="E99" s="93" t="str">
        <f>IF('Representatives and Acc. Users'!D12&lt;&gt;"",'Representatives and Acc. Users'!D12,".N/A.")</f>
        <v>.N/A.</v>
      </c>
      <c r="F99" s="93" t="str">
        <f>IF('Representatives and Acc. Users'!E12&lt;&gt;"",'Representatives and Acc. Users'!E12,".N/A.")</f>
        <v>.N/A.</v>
      </c>
      <c r="G99" s="93" t="str">
        <f>IF('Representatives and Acc. Users'!F12&lt;&gt;"",'Representatives and Acc. Users'!F12,".N/A.")</f>
        <v>.N/A.</v>
      </c>
      <c r="H99" s="93" t="str">
        <f>IF('Representatives and Acc. Users'!G12&lt;&gt;"",'Representatives and Acc. Users'!G12,".N/A.")</f>
        <v>.N/A.</v>
      </c>
      <c r="I99" s="93" t="str">
        <f>IF('Representatives and Acc. Users'!H12&lt;&gt;"",'Representatives and Acc. Users'!H12,".N/A.")</f>
        <v>.N/A.</v>
      </c>
      <c r="J99" s="93" t="str">
        <f>IF('Representatives and Acc. Users'!I12&lt;&gt;"",'Representatives and Acc. Users'!I12,".N/A.")</f>
        <v>.N/A.</v>
      </c>
      <c r="K99" s="93" t="str">
        <f>IF('Representatives and Acc. Users'!J12&lt;&gt;"",'Representatives and Acc. Users'!J12,".N/A.")</f>
        <v>.N/A.</v>
      </c>
      <c r="L99" s="93" t="str">
        <f>IF('Representatives and Acc. Users'!K12&lt;&gt;"",'Representatives and Acc. Users'!K12,".N/A.")</f>
        <v>.N/A.</v>
      </c>
      <c r="M99" s="93" t="str">
        <f>IF('Representatives and Acc. Users'!L12&lt;&gt;"",'Representatives and Acc. Users'!L12,".N/A.")</f>
        <v>.N/A.</v>
      </c>
      <c r="N99" s="93" t="str">
        <f>IF('Representatives and Acc. Users'!M12&lt;&gt;"",'Representatives and Acc. Users'!M12,".N/A.")</f>
        <v>.N/A.</v>
      </c>
      <c r="O99" s="122"/>
      <c r="P99" s="80"/>
      <c r="Q99" s="80"/>
      <c r="R99" s="80"/>
      <c r="S99" s="80"/>
      <c r="T99" s="80" t="e">
        <f>IF(#REF!&lt;&gt;"",#REF!,".N/A.")</f>
        <v>#REF!</v>
      </c>
      <c r="U99" s="80"/>
      <c r="V99" s="80"/>
      <c r="W99" s="80"/>
      <c r="X99" s="80"/>
      <c r="Y99" s="80"/>
      <c r="Z99" s="80"/>
      <c r="AA99" s="80"/>
      <c r="AB99" s="80"/>
      <c r="AC99" s="80"/>
    </row>
    <row r="100" spans="1:29" x14ac:dyDescent="0.25">
      <c r="A100" s="80" t="s">
        <v>1151</v>
      </c>
      <c r="B100" s="80" t="s">
        <v>1151</v>
      </c>
      <c r="C100" s="93" t="str">
        <f>IF('Representatives and Acc. Users'!B13&lt;&gt;"",'Representatives and Acc. Users'!B13,".N/A.")</f>
        <v>.N/A.</v>
      </c>
      <c r="D100" s="93" t="str">
        <f>IF('Representatives and Acc. Users'!C13&lt;&gt;"",'Representatives and Acc. Users'!C13,".N/A.")</f>
        <v>.N/A.</v>
      </c>
      <c r="E100" s="93" t="str">
        <f>IF('Representatives and Acc. Users'!D13&lt;&gt;"",'Representatives and Acc. Users'!D13,".N/A.")</f>
        <v>.N/A.</v>
      </c>
      <c r="F100" s="93" t="str">
        <f>IF('Representatives and Acc. Users'!E13&lt;&gt;"",'Representatives and Acc. Users'!E13,".N/A.")</f>
        <v>.N/A.</v>
      </c>
      <c r="G100" s="93" t="str">
        <f>IF('Representatives and Acc. Users'!F13&lt;&gt;"",'Representatives and Acc. Users'!F13,".N/A.")</f>
        <v>.N/A.</v>
      </c>
      <c r="H100" s="93" t="str">
        <f>IF('Representatives and Acc. Users'!G13&lt;&gt;"",'Representatives and Acc. Users'!G13,".N/A.")</f>
        <v>.N/A.</v>
      </c>
      <c r="I100" s="93" t="str">
        <f>IF('Representatives and Acc. Users'!H13&lt;&gt;"",'Representatives and Acc. Users'!H13,".N/A.")</f>
        <v>.N/A.</v>
      </c>
      <c r="J100" s="93" t="str">
        <f>IF('Representatives and Acc. Users'!I13&lt;&gt;"",'Representatives and Acc. Users'!I13,".N/A.")</f>
        <v>.N/A.</v>
      </c>
      <c r="K100" s="93" t="str">
        <f>IF('Representatives and Acc. Users'!J13&lt;&gt;"",'Representatives and Acc. Users'!J13,".N/A.")</f>
        <v>.N/A.</v>
      </c>
      <c r="L100" s="93" t="str">
        <f>IF('Representatives and Acc. Users'!K13&lt;&gt;"",'Representatives and Acc. Users'!K13,".N/A.")</f>
        <v>.N/A.</v>
      </c>
      <c r="M100" s="93" t="str">
        <f>IF('Representatives and Acc. Users'!L13&lt;&gt;"",'Representatives and Acc. Users'!L13,".N/A.")</f>
        <v>.N/A.</v>
      </c>
      <c r="N100" s="93" t="str">
        <f>IF('Representatives and Acc. Users'!M13&lt;&gt;"",'Representatives and Acc. Users'!M13,".N/A.")</f>
        <v>.N/A.</v>
      </c>
      <c r="O100" s="122"/>
      <c r="P100" s="80"/>
      <c r="Q100" s="80"/>
      <c r="R100" s="80"/>
      <c r="S100" s="80"/>
      <c r="T100" s="80" t="e">
        <f>IF(#REF!&lt;&gt;"",#REF!,".N/A.")</f>
        <v>#REF!</v>
      </c>
      <c r="U100" s="80"/>
      <c r="V100" s="80"/>
      <c r="W100" s="80"/>
      <c r="X100" s="80"/>
      <c r="Y100" s="80"/>
      <c r="Z100" s="80"/>
      <c r="AA100" s="80"/>
      <c r="AB100" s="80"/>
      <c r="AC100" s="80"/>
    </row>
    <row r="101" spans="1:29" x14ac:dyDescent="0.25">
      <c r="A101" s="80" t="s">
        <v>1151</v>
      </c>
      <c r="B101" s="80" t="s">
        <v>1151</v>
      </c>
      <c r="C101" s="93" t="str">
        <f>IF('Representatives and Acc. Users'!B14&lt;&gt;"",'Representatives and Acc. Users'!B14,".N/A.")</f>
        <v>.N/A.</v>
      </c>
      <c r="D101" s="93" t="str">
        <f>IF('Representatives and Acc. Users'!C14&lt;&gt;"",'Representatives and Acc. Users'!C14,".N/A.")</f>
        <v>.N/A.</v>
      </c>
      <c r="E101" s="93" t="str">
        <f>IF('Representatives and Acc. Users'!D14&lt;&gt;"",'Representatives and Acc. Users'!D14,".N/A.")</f>
        <v>.N/A.</v>
      </c>
      <c r="F101" s="93" t="str">
        <f>IF('Representatives and Acc. Users'!E14&lt;&gt;"",'Representatives and Acc. Users'!E14,".N/A.")</f>
        <v>.N/A.</v>
      </c>
      <c r="G101" s="93" t="str">
        <f>IF('Representatives and Acc. Users'!F14&lt;&gt;"",'Representatives and Acc. Users'!F14,".N/A.")</f>
        <v>.N/A.</v>
      </c>
      <c r="H101" s="93" t="str">
        <f>IF('Representatives and Acc. Users'!G14&lt;&gt;"",'Representatives and Acc. Users'!G14,".N/A.")</f>
        <v>.N/A.</v>
      </c>
      <c r="I101" s="93" t="str">
        <f>IF('Representatives and Acc. Users'!H14&lt;&gt;"",'Representatives and Acc. Users'!H14,".N/A.")</f>
        <v>.N/A.</v>
      </c>
      <c r="J101" s="93" t="str">
        <f>IF('Representatives and Acc. Users'!I14&lt;&gt;"",'Representatives and Acc. Users'!I14,".N/A.")</f>
        <v>.N/A.</v>
      </c>
      <c r="K101" s="93" t="str">
        <f>IF('Representatives and Acc. Users'!J14&lt;&gt;"",'Representatives and Acc. Users'!J14,".N/A.")</f>
        <v>.N/A.</v>
      </c>
      <c r="L101" s="93" t="str">
        <f>IF('Representatives and Acc. Users'!K14&lt;&gt;"",'Representatives and Acc. Users'!K14,".N/A.")</f>
        <v>.N/A.</v>
      </c>
      <c r="M101" s="93" t="str">
        <f>IF('Representatives and Acc. Users'!L14&lt;&gt;"",'Representatives and Acc. Users'!L14,".N/A.")</f>
        <v>.N/A.</v>
      </c>
      <c r="N101" s="93" t="str">
        <f>IF('Representatives and Acc. Users'!M14&lt;&gt;"",'Representatives and Acc. Users'!M14,".N/A.")</f>
        <v>.N/A.</v>
      </c>
      <c r="O101" s="122"/>
      <c r="P101" s="80"/>
      <c r="Q101" s="80"/>
      <c r="R101" s="80"/>
      <c r="S101" s="80"/>
      <c r="T101" s="80" t="e">
        <f>IF(#REF!&lt;&gt;"",#REF!,".N/A.")</f>
        <v>#REF!</v>
      </c>
      <c r="U101" s="80"/>
      <c r="V101" s="80"/>
      <c r="W101" s="80"/>
      <c r="X101" s="80"/>
      <c r="Y101" s="80"/>
      <c r="Z101" s="80"/>
      <c r="AA101" s="80"/>
      <c r="AB101" s="80"/>
      <c r="AC101" s="80"/>
    </row>
    <row r="102" spans="1:29" x14ac:dyDescent="0.25">
      <c r="A102" s="80" t="s">
        <v>1151</v>
      </c>
      <c r="B102" s="80" t="s">
        <v>1151</v>
      </c>
      <c r="C102" s="93" t="str">
        <f>IF('Representatives and Acc. Users'!B15&lt;&gt;"",'Representatives and Acc. Users'!B15,".N/A.")</f>
        <v>.N/A.</v>
      </c>
      <c r="D102" s="93" t="str">
        <f>IF('Representatives and Acc. Users'!C15&lt;&gt;"",'Representatives and Acc. Users'!C15,".N/A.")</f>
        <v>.N/A.</v>
      </c>
      <c r="E102" s="93" t="str">
        <f>IF('Representatives and Acc. Users'!D15&lt;&gt;"",'Representatives and Acc. Users'!D15,".N/A.")</f>
        <v>.N/A.</v>
      </c>
      <c r="F102" s="93" t="str">
        <f>IF('Representatives and Acc. Users'!E15&lt;&gt;"",'Representatives and Acc. Users'!E15,".N/A.")</f>
        <v>.N/A.</v>
      </c>
      <c r="G102" s="93" t="str">
        <f>IF('Representatives and Acc. Users'!F15&lt;&gt;"",'Representatives and Acc. Users'!F15,".N/A.")</f>
        <v>.N/A.</v>
      </c>
      <c r="H102" s="93" t="str">
        <f>IF('Representatives and Acc. Users'!G15&lt;&gt;"",'Representatives and Acc. Users'!G15,".N/A.")</f>
        <v>.N/A.</v>
      </c>
      <c r="I102" s="93" t="str">
        <f>IF('Representatives and Acc. Users'!H15&lt;&gt;"",'Representatives and Acc. Users'!H15,".N/A.")</f>
        <v>.N/A.</v>
      </c>
      <c r="J102" s="93" t="str">
        <f>IF('Representatives and Acc. Users'!I15&lt;&gt;"",'Representatives and Acc. Users'!I15,".N/A.")</f>
        <v>.N/A.</v>
      </c>
      <c r="K102" s="93" t="str">
        <f>IF('Representatives and Acc. Users'!J15&lt;&gt;"",'Representatives and Acc. Users'!J15,".N/A.")</f>
        <v>.N/A.</v>
      </c>
      <c r="L102" s="93" t="str">
        <f>IF('Representatives and Acc. Users'!K15&lt;&gt;"",'Representatives and Acc. Users'!K15,".N/A.")</f>
        <v>.N/A.</v>
      </c>
      <c r="M102" s="93" t="str">
        <f>IF('Representatives and Acc. Users'!L15&lt;&gt;"",'Representatives and Acc. Users'!L15,".N/A.")</f>
        <v>.N/A.</v>
      </c>
      <c r="N102" s="93" t="str">
        <f>IF('Representatives and Acc. Users'!M15&lt;&gt;"",'Representatives and Acc. Users'!M15,".N/A.")</f>
        <v>.N/A.</v>
      </c>
      <c r="O102" s="122"/>
      <c r="P102" s="80"/>
      <c r="Q102" s="80"/>
      <c r="R102" s="80"/>
      <c r="S102" s="80"/>
      <c r="T102" s="80" t="e">
        <f>IF(#REF!&lt;&gt;"",#REF!,".N/A.")</f>
        <v>#REF!</v>
      </c>
      <c r="U102" s="80"/>
      <c r="V102" s="80"/>
      <c r="W102" s="80"/>
      <c r="X102" s="80"/>
      <c r="Y102" s="80"/>
      <c r="Z102" s="80"/>
      <c r="AA102" s="80"/>
      <c r="AB102" s="80"/>
      <c r="AC102" s="80"/>
    </row>
    <row r="103" spans="1:29" x14ac:dyDescent="0.25">
      <c r="A103" s="80" t="s">
        <v>1151</v>
      </c>
      <c r="B103" s="80" t="s">
        <v>1151</v>
      </c>
      <c r="C103" s="93" t="str">
        <f>IF('Representatives and Acc. Users'!B16&lt;&gt;"",'Representatives and Acc. Users'!B16,".N/A.")</f>
        <v>.N/A.</v>
      </c>
      <c r="D103" s="93" t="str">
        <f>IF('Representatives and Acc. Users'!C16&lt;&gt;"",'Representatives and Acc. Users'!C16,".N/A.")</f>
        <v>.N/A.</v>
      </c>
      <c r="E103" s="93" t="str">
        <f>IF('Representatives and Acc. Users'!D16&lt;&gt;"",'Representatives and Acc. Users'!D16,".N/A.")</f>
        <v>.N/A.</v>
      </c>
      <c r="F103" s="93" t="str">
        <f>IF('Representatives and Acc. Users'!E16&lt;&gt;"",'Representatives and Acc. Users'!E16,".N/A.")</f>
        <v>.N/A.</v>
      </c>
      <c r="G103" s="93" t="str">
        <f>IF('Representatives and Acc. Users'!F16&lt;&gt;"",'Representatives and Acc. Users'!F16,".N/A.")</f>
        <v>.N/A.</v>
      </c>
      <c r="H103" s="93" t="str">
        <f>IF('Representatives and Acc. Users'!G16&lt;&gt;"",'Representatives and Acc. Users'!G16,".N/A.")</f>
        <v>.N/A.</v>
      </c>
      <c r="I103" s="93" t="str">
        <f>IF('Representatives and Acc. Users'!H16&lt;&gt;"",'Representatives and Acc. Users'!H16,".N/A.")</f>
        <v>.N/A.</v>
      </c>
      <c r="J103" s="93" t="str">
        <f>IF('Representatives and Acc. Users'!I16&lt;&gt;"",'Representatives and Acc. Users'!I16,".N/A.")</f>
        <v>.N/A.</v>
      </c>
      <c r="K103" s="93" t="str">
        <f>IF('Representatives and Acc. Users'!J16&lt;&gt;"",'Representatives and Acc. Users'!J16,".N/A.")</f>
        <v>.N/A.</v>
      </c>
      <c r="L103" s="93" t="str">
        <f>IF('Representatives and Acc. Users'!K16&lt;&gt;"",'Representatives and Acc. Users'!K16,".N/A.")</f>
        <v>.N/A.</v>
      </c>
      <c r="M103" s="93" t="str">
        <f>IF('Representatives and Acc. Users'!L16&lt;&gt;"",'Representatives and Acc. Users'!L16,".N/A.")</f>
        <v>.N/A.</v>
      </c>
      <c r="N103" s="93" t="str">
        <f>IF('Representatives and Acc. Users'!M16&lt;&gt;"",'Representatives and Acc. Users'!M16,".N/A.")</f>
        <v>.N/A.</v>
      </c>
      <c r="O103" s="122"/>
      <c r="P103" s="80"/>
      <c r="Q103" s="80"/>
      <c r="R103" s="80"/>
      <c r="S103" s="80"/>
      <c r="T103" s="80" t="e">
        <f>IF(#REF!&lt;&gt;"",#REF!,".N/A.")</f>
        <v>#REF!</v>
      </c>
      <c r="U103" s="80"/>
      <c r="V103" s="80"/>
      <c r="W103" s="80"/>
      <c r="X103" s="80"/>
      <c r="Y103" s="80"/>
      <c r="Z103" s="80"/>
      <c r="AA103" s="80"/>
      <c r="AB103" s="80"/>
      <c r="AC103" s="80"/>
    </row>
    <row r="104" spans="1:29" x14ac:dyDescent="0.25">
      <c r="A104" s="80" t="s">
        <v>1151</v>
      </c>
      <c r="B104" s="80" t="s">
        <v>1151</v>
      </c>
      <c r="C104" s="93" t="str">
        <f>IF('Representatives and Acc. Users'!B17&lt;&gt;"",'Representatives and Acc. Users'!B17,".N/A.")</f>
        <v>.N/A.</v>
      </c>
      <c r="D104" s="93" t="str">
        <f>IF('Representatives and Acc. Users'!C17&lt;&gt;"",'Representatives and Acc. Users'!C17,".N/A.")</f>
        <v>.N/A.</v>
      </c>
      <c r="E104" s="93" t="str">
        <f>IF('Representatives and Acc. Users'!D17&lt;&gt;"",'Representatives and Acc. Users'!D17,".N/A.")</f>
        <v>.N/A.</v>
      </c>
      <c r="F104" s="93" t="str">
        <f>IF('Representatives and Acc. Users'!E17&lt;&gt;"",'Representatives and Acc. Users'!E17,".N/A.")</f>
        <v>.N/A.</v>
      </c>
      <c r="G104" s="93" t="str">
        <f>IF('Representatives and Acc. Users'!F17&lt;&gt;"",'Representatives and Acc. Users'!F17,".N/A.")</f>
        <v>.N/A.</v>
      </c>
      <c r="H104" s="93" t="str">
        <f>IF('Representatives and Acc. Users'!G17&lt;&gt;"",'Representatives and Acc. Users'!G17,".N/A.")</f>
        <v>.N/A.</v>
      </c>
      <c r="I104" s="93" t="str">
        <f>IF('Representatives and Acc. Users'!H17&lt;&gt;"",'Representatives and Acc. Users'!H17,".N/A.")</f>
        <v>.N/A.</v>
      </c>
      <c r="J104" s="93" t="str">
        <f>IF('Representatives and Acc. Users'!I17&lt;&gt;"",'Representatives and Acc. Users'!I17,".N/A.")</f>
        <v>.N/A.</v>
      </c>
      <c r="K104" s="93" t="str">
        <f>IF('Representatives and Acc. Users'!J17&lt;&gt;"",'Representatives and Acc. Users'!J17,".N/A.")</f>
        <v>.N/A.</v>
      </c>
      <c r="L104" s="93" t="str">
        <f>IF('Representatives and Acc. Users'!K17&lt;&gt;"",'Representatives and Acc. Users'!K17,".N/A.")</f>
        <v>.N/A.</v>
      </c>
      <c r="M104" s="93" t="str">
        <f>IF('Representatives and Acc. Users'!L17&lt;&gt;"",'Representatives and Acc. Users'!L17,".N/A.")</f>
        <v>.N/A.</v>
      </c>
      <c r="N104" s="93" t="str">
        <f>IF('Representatives and Acc. Users'!M17&lt;&gt;"",'Representatives and Acc. Users'!M17,".N/A.")</f>
        <v>.N/A.</v>
      </c>
      <c r="O104" s="122"/>
      <c r="P104" s="80"/>
      <c r="Q104" s="80"/>
      <c r="R104" s="80"/>
      <c r="S104" s="80"/>
      <c r="T104" s="80" t="e">
        <f>IF(#REF!&lt;&gt;"",#REF!,".N/A.")</f>
        <v>#REF!</v>
      </c>
      <c r="U104" s="80"/>
      <c r="V104" s="80"/>
      <c r="W104" s="80"/>
      <c r="X104" s="80"/>
      <c r="Y104" s="80"/>
      <c r="Z104" s="80"/>
      <c r="AA104" s="80"/>
      <c r="AB104" s="80"/>
      <c r="AC104" s="80"/>
    </row>
    <row r="105" spans="1:29" x14ac:dyDescent="0.25">
      <c r="A105" s="80" t="s">
        <v>1151</v>
      </c>
      <c r="B105" s="80" t="s">
        <v>1151</v>
      </c>
      <c r="C105" s="93" t="str">
        <f>IF('Representatives and Acc. Users'!B18&lt;&gt;"",'Representatives and Acc. Users'!B18,".N/A.")</f>
        <v>.N/A.</v>
      </c>
      <c r="D105" s="93" t="str">
        <f>IF('Representatives and Acc. Users'!C18&lt;&gt;"",'Representatives and Acc. Users'!C18,".N/A.")</f>
        <v>.N/A.</v>
      </c>
      <c r="E105" s="93" t="str">
        <f>IF('Representatives and Acc. Users'!D18&lt;&gt;"",'Representatives and Acc. Users'!D18,".N/A.")</f>
        <v>.N/A.</v>
      </c>
      <c r="F105" s="93" t="str">
        <f>IF('Representatives and Acc. Users'!E18&lt;&gt;"",'Representatives and Acc. Users'!E18,".N/A.")</f>
        <v>.N/A.</v>
      </c>
      <c r="G105" s="93" t="str">
        <f>IF('Representatives and Acc. Users'!F18&lt;&gt;"",'Representatives and Acc. Users'!F18,".N/A.")</f>
        <v>.N/A.</v>
      </c>
      <c r="H105" s="93" t="str">
        <f>IF('Representatives and Acc. Users'!G18&lt;&gt;"",'Representatives and Acc. Users'!G18,".N/A.")</f>
        <v>.N/A.</v>
      </c>
      <c r="I105" s="93" t="str">
        <f>IF('Representatives and Acc. Users'!H18&lt;&gt;"",'Representatives and Acc. Users'!H18,".N/A.")</f>
        <v>.N/A.</v>
      </c>
      <c r="J105" s="93" t="str">
        <f>IF('Representatives and Acc. Users'!I18&lt;&gt;"",'Representatives and Acc. Users'!I18,".N/A.")</f>
        <v>.N/A.</v>
      </c>
      <c r="K105" s="93" t="str">
        <f>IF('Representatives and Acc. Users'!J18&lt;&gt;"",'Representatives and Acc. Users'!J18,".N/A.")</f>
        <v>.N/A.</v>
      </c>
      <c r="L105" s="93" t="str">
        <f>IF('Representatives and Acc. Users'!K18&lt;&gt;"",'Representatives and Acc. Users'!K18,".N/A.")</f>
        <v>.N/A.</v>
      </c>
      <c r="M105" s="93" t="str">
        <f>IF('Representatives and Acc. Users'!L18&lt;&gt;"",'Representatives and Acc. Users'!L18,".N/A.")</f>
        <v>.N/A.</v>
      </c>
      <c r="N105" s="93" t="str">
        <f>IF('Representatives and Acc. Users'!M18&lt;&gt;"",'Representatives and Acc. Users'!M18,".N/A.")</f>
        <v>.N/A.</v>
      </c>
      <c r="O105" s="122"/>
      <c r="P105" s="80"/>
      <c r="Q105" s="80"/>
      <c r="R105" s="80"/>
      <c r="S105" s="80"/>
      <c r="T105" s="80" t="e">
        <f>IF(#REF!&lt;&gt;"",#REF!,".N/A.")</f>
        <v>#REF!</v>
      </c>
      <c r="U105" s="80"/>
      <c r="V105" s="80"/>
      <c r="W105" s="80"/>
      <c r="X105" s="80"/>
      <c r="Y105" s="80"/>
      <c r="Z105" s="80"/>
      <c r="AA105" s="80"/>
      <c r="AB105" s="80"/>
      <c r="AC105" s="80"/>
    </row>
    <row r="106" spans="1:29" ht="15.75" thickBot="1" x14ac:dyDescent="0.3">
      <c r="A106" s="80" t="s">
        <v>1151</v>
      </c>
      <c r="B106" s="80" t="s">
        <v>1151</v>
      </c>
      <c r="C106" s="93" t="str">
        <f>IF('Representatives and Acc. Users'!B19&lt;&gt;"",'Representatives and Acc. Users'!B19,".N/A.")</f>
        <v>.N/A.</v>
      </c>
      <c r="D106" s="93" t="str">
        <f>IF('Representatives and Acc. Users'!C19&lt;&gt;"",'Representatives and Acc. Users'!C19,".N/A.")</f>
        <v>.N/A.</v>
      </c>
      <c r="E106" s="93" t="str">
        <f>IF('Representatives and Acc. Users'!D19&lt;&gt;"",'Representatives and Acc. Users'!D19,".N/A.")</f>
        <v>.N/A.</v>
      </c>
      <c r="F106" s="93" t="str">
        <f>IF('Representatives and Acc. Users'!E19&lt;&gt;"",'Representatives and Acc. Users'!E19,".N/A.")</f>
        <v>.N/A.</v>
      </c>
      <c r="G106" s="93" t="str">
        <f>IF('Representatives and Acc. Users'!F19&lt;&gt;"",'Representatives and Acc. Users'!F19,".N/A.")</f>
        <v>.N/A.</v>
      </c>
      <c r="H106" s="93" t="str">
        <f>IF('Representatives and Acc. Users'!G19&lt;&gt;"",'Representatives and Acc. Users'!G19,".N/A.")</f>
        <v>.N/A.</v>
      </c>
      <c r="I106" s="93" t="str">
        <f>IF('Representatives and Acc. Users'!H19&lt;&gt;"",'Representatives and Acc. Users'!H19,".N/A.")</f>
        <v>.N/A.</v>
      </c>
      <c r="J106" s="93" t="str">
        <f>IF('Representatives and Acc. Users'!I19&lt;&gt;"",'Representatives and Acc. Users'!I19,".N/A.")</f>
        <v>.N/A.</v>
      </c>
      <c r="K106" s="93" t="str">
        <f>IF('Representatives and Acc. Users'!J19&lt;&gt;"",'Representatives and Acc. Users'!J19,".N/A.")</f>
        <v>.N/A.</v>
      </c>
      <c r="L106" s="93" t="str">
        <f>IF('Representatives and Acc. Users'!K19&lt;&gt;"",'Representatives and Acc. Users'!K19,".N/A.")</f>
        <v>.N/A.</v>
      </c>
      <c r="M106" s="93" t="str">
        <f>IF('Representatives and Acc. Users'!L19&lt;&gt;"",'Representatives and Acc. Users'!L19,".N/A.")</f>
        <v>.N/A.</v>
      </c>
      <c r="N106" s="93" t="str">
        <f>IF('Representatives and Acc. Users'!M19&lt;&gt;"",'Representatives and Acc. Users'!M19,".N/A.")</f>
        <v>.N/A.</v>
      </c>
      <c r="O106" s="122"/>
      <c r="P106" s="80"/>
      <c r="Q106" s="80"/>
      <c r="R106" s="80"/>
      <c r="S106" s="80"/>
      <c r="T106" s="80" t="e">
        <f>IF(#REF!&lt;&gt;"",#REF!,".N/A.")</f>
        <v>#REF!</v>
      </c>
      <c r="U106" s="80"/>
      <c r="V106" s="80"/>
      <c r="W106" s="80"/>
      <c r="X106" s="80"/>
      <c r="Y106" s="80"/>
      <c r="Z106" s="80"/>
      <c r="AA106" s="80"/>
      <c r="AB106" s="80"/>
      <c r="AC106" s="80"/>
    </row>
    <row r="107" spans="1:29" ht="15.75" thickBot="1" x14ac:dyDescent="0.3">
      <c r="A107" s="89" t="s">
        <v>594</v>
      </c>
      <c r="B107" s="94" t="s">
        <v>939</v>
      </c>
      <c r="C107" s="94" t="s">
        <v>594</v>
      </c>
      <c r="D107" s="90"/>
      <c r="E107" s="95"/>
      <c r="F107" s="80"/>
      <c r="G107" s="80"/>
      <c r="H107" s="80"/>
      <c r="I107" s="80"/>
      <c r="J107" s="80"/>
      <c r="K107" s="80"/>
      <c r="L107" s="80"/>
      <c r="M107" s="80"/>
      <c r="N107" s="80"/>
      <c r="O107" s="80"/>
      <c r="P107" s="80"/>
      <c r="Q107" s="80"/>
      <c r="R107" s="80"/>
      <c r="S107" s="80"/>
      <c r="T107" s="80"/>
      <c r="U107" s="80"/>
      <c r="V107" s="80"/>
      <c r="W107" s="80"/>
      <c r="X107" s="80"/>
      <c r="Y107" s="80"/>
      <c r="Z107" s="80"/>
    </row>
    <row r="108" spans="1:29" x14ac:dyDescent="0.25">
      <c r="A108" s="123" t="s">
        <v>594</v>
      </c>
      <c r="B108" s="124" t="s">
        <v>1118</v>
      </c>
      <c r="C108" s="124" t="str">
        <f>'Bank Accounts'!B45</f>
        <v>BankAccountsAccType</v>
      </c>
      <c r="D108" s="124" t="str">
        <f>'Bank Accounts'!C45</f>
        <v>BankAccountsBankOrServiceName</v>
      </c>
      <c r="E108" s="124" t="str">
        <f>'Bank Accounts'!D45</f>
        <v>BankAccountsAccNumber</v>
      </c>
      <c r="F108" s="124" t="str">
        <f>'Bank Accounts'!E45</f>
        <v>BankAccountsAccLocation</v>
      </c>
      <c r="G108" s="124" t="str">
        <f>'Bank Accounts'!F45</f>
        <v>BankAccountsSWIFTBICRouting</v>
      </c>
      <c r="H108" s="80"/>
      <c r="I108" s="80"/>
      <c r="J108" s="80"/>
      <c r="K108" s="80"/>
      <c r="L108" s="80"/>
      <c r="M108" s="80"/>
      <c r="N108" s="80"/>
      <c r="O108" s="80"/>
      <c r="P108" s="80"/>
      <c r="Q108" s="80"/>
      <c r="R108" s="80"/>
      <c r="S108" s="80"/>
      <c r="T108" s="80"/>
      <c r="U108" s="80"/>
      <c r="V108" s="80"/>
      <c r="W108" s="80"/>
      <c r="X108" s="80"/>
      <c r="Y108" s="80"/>
      <c r="Z108" s="80"/>
    </row>
    <row r="109" spans="1:29" x14ac:dyDescent="0.25">
      <c r="A109" s="80" t="s">
        <v>594</v>
      </c>
      <c r="B109" s="93">
        <f>IF('Bank Accounts'!A7&lt;&gt;"",'Bank Accounts'!A7,".N/A.")</f>
        <v>1</v>
      </c>
      <c r="C109" s="93" t="str">
        <f>IF('Bank Accounts'!B7&lt;&gt;"",'Bank Accounts'!B7,".N/A.")</f>
        <v>.N/A.</v>
      </c>
      <c r="D109" s="80" t="str">
        <f>IF('Bank Accounts'!C7&lt;&gt;"",'Bank Accounts'!C7,".N/A.")</f>
        <v>.N/A.</v>
      </c>
      <c r="E109" s="96" t="str">
        <f>IF('Bank Accounts'!D7&lt;&gt;"",'Bank Accounts'!D7,".N/A.")</f>
        <v>.N/A.</v>
      </c>
      <c r="F109" s="80" t="str">
        <f>IF('Bank Accounts'!E7&lt;&gt;"",'Bank Accounts'!E7,".N/A.")</f>
        <v>.N/A.</v>
      </c>
      <c r="G109" s="96" t="str">
        <f>IF('Bank Accounts'!F7&lt;&gt;"",'Bank Accounts'!F7,".N/A.")</f>
        <v>.N/A.</v>
      </c>
      <c r="H109" s="80"/>
      <c r="I109" s="80"/>
      <c r="J109" s="80"/>
      <c r="K109" s="80"/>
      <c r="L109" s="80"/>
      <c r="M109" s="80"/>
      <c r="N109" s="80"/>
      <c r="O109" s="80"/>
      <c r="P109" s="80"/>
      <c r="Q109" s="80"/>
      <c r="R109" s="80"/>
      <c r="S109" s="80"/>
      <c r="T109" s="80"/>
      <c r="U109" s="80"/>
      <c r="V109" s="80"/>
      <c r="W109" s="80"/>
      <c r="X109" s="80"/>
      <c r="Y109" s="80"/>
      <c r="Z109" s="80"/>
    </row>
    <row r="110" spans="1:29" x14ac:dyDescent="0.25">
      <c r="A110" s="80" t="s">
        <v>594</v>
      </c>
      <c r="B110" s="93">
        <f>IF('Bank Accounts'!A8&lt;&gt;"",'Bank Accounts'!A8,".N/A.")</f>
        <v>2</v>
      </c>
      <c r="C110" s="93" t="str">
        <f>IF('Bank Accounts'!B8&lt;&gt;"",'Bank Accounts'!B8,".N/A.")</f>
        <v>.N/A.</v>
      </c>
      <c r="D110" s="80" t="str">
        <f>IF('Bank Accounts'!C8&lt;&gt;"",'Bank Accounts'!C8,".N/A.")</f>
        <v>.N/A.</v>
      </c>
      <c r="E110" s="96" t="str">
        <f>IF('Bank Accounts'!D8&lt;&gt;"",'Bank Accounts'!D8,".N/A.")</f>
        <v>.N/A.</v>
      </c>
      <c r="F110" s="80" t="str">
        <f>IF('Bank Accounts'!E8&lt;&gt;"",'Bank Accounts'!E8,".N/A.")</f>
        <v>.N/A.</v>
      </c>
      <c r="G110" s="96" t="str">
        <f>IF('Bank Accounts'!F8&lt;&gt;"",'Bank Accounts'!F8,".N/A.")</f>
        <v>.N/A.</v>
      </c>
      <c r="H110" s="80"/>
      <c r="I110" s="80"/>
      <c r="J110" s="80"/>
      <c r="K110" s="80"/>
      <c r="L110" s="80"/>
      <c r="M110" s="80"/>
      <c r="N110" s="80"/>
      <c r="O110" s="80"/>
      <c r="P110" s="80"/>
      <c r="Q110" s="80"/>
      <c r="R110" s="80"/>
      <c r="S110" s="80"/>
      <c r="T110" s="80"/>
      <c r="U110" s="80"/>
      <c r="V110" s="80"/>
      <c r="W110" s="80"/>
      <c r="X110" s="80"/>
      <c r="Y110" s="80"/>
      <c r="Z110" s="80"/>
    </row>
    <row r="111" spans="1:29" x14ac:dyDescent="0.25">
      <c r="A111" s="80" t="s">
        <v>594</v>
      </c>
      <c r="B111" s="93">
        <f>IF('Bank Accounts'!A9&lt;&gt;"",'Bank Accounts'!A9,".N/A.")</f>
        <v>3</v>
      </c>
      <c r="C111" s="93" t="str">
        <f>IF('Bank Accounts'!B9&lt;&gt;"",'Bank Accounts'!B9,".N/A.")</f>
        <v>.N/A.</v>
      </c>
      <c r="D111" s="80" t="str">
        <f>IF('Bank Accounts'!C9&lt;&gt;"",'Bank Accounts'!C9,".N/A.")</f>
        <v>.N/A.</v>
      </c>
      <c r="E111" s="96" t="str">
        <f>IF('Bank Accounts'!D9&lt;&gt;"",'Bank Accounts'!D9,".N/A.")</f>
        <v>.N/A.</v>
      </c>
      <c r="F111" s="80" t="str">
        <f>IF('Bank Accounts'!E9&lt;&gt;"",'Bank Accounts'!E9,".N/A.")</f>
        <v>.N/A.</v>
      </c>
      <c r="G111" s="96" t="str">
        <f>IF('Bank Accounts'!F9&lt;&gt;"",'Bank Accounts'!F9,".N/A.")</f>
        <v>.N/A.</v>
      </c>
      <c r="H111" s="80"/>
      <c r="I111" s="80"/>
      <c r="J111" s="80"/>
      <c r="K111" s="80"/>
      <c r="L111" s="80"/>
      <c r="M111" s="80"/>
      <c r="N111" s="80"/>
      <c r="O111" s="80"/>
      <c r="P111" s="80"/>
      <c r="Q111" s="80"/>
      <c r="R111" s="80"/>
      <c r="S111" s="80"/>
      <c r="T111" s="80"/>
      <c r="U111" s="80"/>
      <c r="V111" s="80"/>
      <c r="W111" s="80"/>
      <c r="X111" s="80"/>
      <c r="Y111" s="80"/>
      <c r="Z111" s="80"/>
    </row>
    <row r="112" spans="1:29" x14ac:dyDescent="0.25">
      <c r="A112" s="80" t="s">
        <v>594</v>
      </c>
      <c r="B112" s="93">
        <f>IF('Bank Accounts'!A10&lt;&gt;"",'Bank Accounts'!A10,".N/A.")</f>
        <v>4</v>
      </c>
      <c r="C112" s="93" t="str">
        <f>IF('Bank Accounts'!B10&lt;&gt;"",'Bank Accounts'!B10,".N/A.")</f>
        <v>.N/A.</v>
      </c>
      <c r="D112" s="80" t="str">
        <f>IF('Bank Accounts'!C10&lt;&gt;"",'Bank Accounts'!C10,".N/A.")</f>
        <v>.N/A.</v>
      </c>
      <c r="E112" s="96" t="str">
        <f>IF('Bank Accounts'!D10&lt;&gt;"",'Bank Accounts'!D10,".N/A.")</f>
        <v>.N/A.</v>
      </c>
      <c r="F112" s="80" t="str">
        <f>IF('Bank Accounts'!E10&lt;&gt;"",'Bank Accounts'!E10,".N/A.")</f>
        <v>.N/A.</v>
      </c>
      <c r="G112" s="96" t="str">
        <f>IF('Bank Accounts'!F10&lt;&gt;"",'Bank Accounts'!F10,".N/A.")</f>
        <v>.N/A.</v>
      </c>
      <c r="H112" s="80"/>
      <c r="I112" s="80"/>
      <c r="J112" s="80"/>
      <c r="K112" s="80"/>
      <c r="L112" s="80"/>
      <c r="M112" s="80"/>
      <c r="N112" s="80"/>
      <c r="O112" s="80"/>
      <c r="P112" s="80"/>
      <c r="Q112" s="80"/>
      <c r="R112" s="80"/>
      <c r="S112" s="80"/>
      <c r="T112" s="80"/>
      <c r="U112" s="80"/>
      <c r="V112" s="80"/>
      <c r="W112" s="80"/>
      <c r="X112" s="80"/>
      <c r="Y112" s="80"/>
      <c r="Z112" s="80"/>
    </row>
    <row r="113" spans="1:26" x14ac:dyDescent="0.25">
      <c r="A113" s="80" t="s">
        <v>594</v>
      </c>
      <c r="B113" s="93">
        <f>IF('Bank Accounts'!A11&lt;&gt;"",'Bank Accounts'!A11,".N/A.")</f>
        <v>5</v>
      </c>
      <c r="C113" s="93" t="str">
        <f>IF('Bank Accounts'!B11&lt;&gt;"",'Bank Accounts'!B11,".N/A.")</f>
        <v>.N/A.</v>
      </c>
      <c r="D113" s="80" t="str">
        <f>IF('Bank Accounts'!C11&lt;&gt;"",'Bank Accounts'!C11,".N/A.")</f>
        <v>.N/A.</v>
      </c>
      <c r="E113" s="96" t="str">
        <f>IF('Bank Accounts'!D11&lt;&gt;"",'Bank Accounts'!D11,".N/A.")</f>
        <v>.N/A.</v>
      </c>
      <c r="F113" s="80" t="str">
        <f>IF('Bank Accounts'!E11&lt;&gt;"",'Bank Accounts'!E11,".N/A.")</f>
        <v>.N/A.</v>
      </c>
      <c r="G113" s="96" t="str">
        <f>IF('Bank Accounts'!F11&lt;&gt;"",'Bank Accounts'!F11,".N/A.")</f>
        <v>.N/A.</v>
      </c>
      <c r="H113" s="80"/>
      <c r="I113" s="80"/>
      <c r="J113" s="80"/>
      <c r="K113" s="80"/>
      <c r="L113" s="80"/>
      <c r="M113" s="80"/>
      <c r="N113" s="80"/>
      <c r="O113" s="80"/>
      <c r="P113" s="80"/>
      <c r="Q113" s="80"/>
      <c r="R113" s="80"/>
      <c r="S113" s="80"/>
      <c r="T113" s="80"/>
      <c r="U113" s="80"/>
      <c r="V113" s="80"/>
      <c r="W113" s="80"/>
      <c r="X113" s="80"/>
      <c r="Y113" s="80"/>
      <c r="Z113" s="80"/>
    </row>
    <row r="114" spans="1:26" x14ac:dyDescent="0.25">
      <c r="A114" s="80" t="s">
        <v>594</v>
      </c>
      <c r="B114" s="93">
        <f>IF('Bank Accounts'!A12&lt;&gt;"",'Bank Accounts'!A12,".N/A.")</f>
        <v>6</v>
      </c>
      <c r="C114" s="93" t="str">
        <f>IF('Bank Accounts'!B12&lt;&gt;"",'Bank Accounts'!B12,".N/A.")</f>
        <v>.N/A.</v>
      </c>
      <c r="D114" s="80" t="str">
        <f>IF('Bank Accounts'!C12&lt;&gt;"",'Bank Accounts'!C12,".N/A.")</f>
        <v>.N/A.</v>
      </c>
      <c r="E114" s="96" t="str">
        <f>IF('Bank Accounts'!D12&lt;&gt;"",'Bank Accounts'!D12,".N/A.")</f>
        <v>.N/A.</v>
      </c>
      <c r="F114" s="80" t="str">
        <f>IF('Bank Accounts'!E12&lt;&gt;"",'Bank Accounts'!E12,".N/A.")</f>
        <v>.N/A.</v>
      </c>
      <c r="G114" s="96" t="str">
        <f>IF('Bank Accounts'!F12&lt;&gt;"",'Bank Accounts'!F12,".N/A.")</f>
        <v>.N/A.</v>
      </c>
      <c r="H114" s="80"/>
      <c r="I114" s="80"/>
      <c r="J114" s="80"/>
      <c r="K114" s="80"/>
      <c r="L114" s="80"/>
      <c r="M114" s="80"/>
      <c r="N114" s="80"/>
      <c r="O114" s="80"/>
      <c r="P114" s="80"/>
      <c r="Q114" s="80"/>
      <c r="R114" s="80"/>
      <c r="S114" s="80"/>
      <c r="T114" s="80"/>
      <c r="U114" s="80"/>
      <c r="V114" s="80"/>
      <c r="W114" s="80"/>
      <c r="X114" s="80"/>
      <c r="Y114" s="80"/>
      <c r="Z114" s="80"/>
    </row>
    <row r="115" spans="1:26" x14ac:dyDescent="0.25">
      <c r="A115" s="80" t="s">
        <v>594</v>
      </c>
      <c r="B115" s="93">
        <f>IF('Bank Accounts'!A13&lt;&gt;"",'Bank Accounts'!A13,".N/A.")</f>
        <v>7</v>
      </c>
      <c r="C115" s="93" t="str">
        <f>IF('Bank Accounts'!B13&lt;&gt;"",'Bank Accounts'!B13,".N/A.")</f>
        <v>.N/A.</v>
      </c>
      <c r="D115" s="80" t="str">
        <f>IF('Bank Accounts'!C13&lt;&gt;"",'Bank Accounts'!C13,".N/A.")</f>
        <v>.N/A.</v>
      </c>
      <c r="E115" s="96" t="str">
        <f>IF('Bank Accounts'!D13&lt;&gt;"",'Bank Accounts'!D13,".N/A.")</f>
        <v>.N/A.</v>
      </c>
      <c r="F115" s="80" t="str">
        <f>IF('Bank Accounts'!E13&lt;&gt;"",'Bank Accounts'!E13,".N/A.")</f>
        <v>.N/A.</v>
      </c>
      <c r="G115" s="96" t="str">
        <f>IF('Bank Accounts'!F13&lt;&gt;"",'Bank Accounts'!F13,".N/A.")</f>
        <v>.N/A.</v>
      </c>
      <c r="H115" s="80"/>
      <c r="I115" s="80"/>
      <c r="J115" s="80"/>
      <c r="K115" s="80"/>
      <c r="L115" s="80"/>
      <c r="M115" s="80"/>
      <c r="N115" s="80"/>
      <c r="O115" s="80"/>
      <c r="P115" s="80"/>
      <c r="Q115" s="80"/>
      <c r="R115" s="80"/>
      <c r="S115" s="80"/>
      <c r="T115" s="80"/>
      <c r="U115" s="80"/>
      <c r="V115" s="80"/>
      <c r="W115" s="80"/>
      <c r="X115" s="80"/>
      <c r="Y115" s="80"/>
      <c r="Z115" s="80"/>
    </row>
    <row r="116" spans="1:26" x14ac:dyDescent="0.25">
      <c r="A116" s="80" t="s">
        <v>594</v>
      </c>
      <c r="B116" s="93">
        <f>IF('Bank Accounts'!A14&lt;&gt;"",'Bank Accounts'!A14,".N/A.")</f>
        <v>8</v>
      </c>
      <c r="C116" s="93" t="str">
        <f>IF('Bank Accounts'!B14&lt;&gt;"",'Bank Accounts'!B14,".N/A.")</f>
        <v>.N/A.</v>
      </c>
      <c r="D116" s="80" t="str">
        <f>IF('Bank Accounts'!C14&lt;&gt;"",'Bank Accounts'!C14,".N/A.")</f>
        <v>.N/A.</v>
      </c>
      <c r="E116" s="96" t="str">
        <f>IF('Bank Accounts'!D14&lt;&gt;"",'Bank Accounts'!D14,".N/A.")</f>
        <v>.N/A.</v>
      </c>
      <c r="F116" s="80" t="str">
        <f>IF('Bank Accounts'!E14&lt;&gt;"",'Bank Accounts'!E14,".N/A.")</f>
        <v>.N/A.</v>
      </c>
      <c r="G116" s="96" t="str">
        <f>IF('Bank Accounts'!F14&lt;&gt;"",'Bank Accounts'!F14,".N/A.")</f>
        <v>.N/A.</v>
      </c>
      <c r="H116" s="80"/>
      <c r="I116" s="80"/>
      <c r="J116" s="80"/>
      <c r="K116" s="80"/>
      <c r="L116" s="80"/>
      <c r="M116" s="80"/>
      <c r="N116" s="80"/>
      <c r="O116" s="80"/>
      <c r="P116" s="80"/>
      <c r="Q116" s="80"/>
      <c r="R116" s="80"/>
      <c r="S116" s="80"/>
      <c r="T116" s="80"/>
      <c r="U116" s="80"/>
      <c r="V116" s="80"/>
      <c r="W116" s="80"/>
      <c r="X116" s="80"/>
      <c r="Y116" s="80"/>
      <c r="Z116" s="80"/>
    </row>
    <row r="117" spans="1:26" x14ac:dyDescent="0.25">
      <c r="A117" s="80" t="s">
        <v>594</v>
      </c>
      <c r="B117" s="93">
        <f>IF('Bank Accounts'!A15&lt;&gt;"",'Bank Accounts'!A15,".N/A.")</f>
        <v>9</v>
      </c>
      <c r="C117" s="93" t="str">
        <f>IF('Bank Accounts'!B15&lt;&gt;"",'Bank Accounts'!B15,".N/A.")</f>
        <v>.N/A.</v>
      </c>
      <c r="D117" s="80" t="str">
        <f>IF('Bank Accounts'!C15&lt;&gt;"",'Bank Accounts'!C15,".N/A.")</f>
        <v>.N/A.</v>
      </c>
      <c r="E117" s="96" t="str">
        <f>IF('Bank Accounts'!D15&lt;&gt;"",'Bank Accounts'!D15,".N/A.")</f>
        <v>.N/A.</v>
      </c>
      <c r="F117" s="80" t="str">
        <f>IF('Bank Accounts'!E15&lt;&gt;"",'Bank Accounts'!E15,".N/A.")</f>
        <v>.N/A.</v>
      </c>
      <c r="G117" s="96" t="str">
        <f>IF('Bank Accounts'!F15&lt;&gt;"",'Bank Accounts'!F15,".N/A.")</f>
        <v>.N/A.</v>
      </c>
      <c r="H117" s="80"/>
      <c r="I117" s="80"/>
      <c r="J117" s="80"/>
      <c r="K117" s="80"/>
      <c r="L117" s="80"/>
      <c r="M117" s="80"/>
      <c r="N117" s="80"/>
      <c r="O117" s="80"/>
      <c r="P117" s="80"/>
      <c r="Q117" s="80"/>
      <c r="R117" s="80"/>
      <c r="S117" s="80"/>
      <c r="T117" s="80"/>
      <c r="U117" s="80"/>
      <c r="V117" s="80"/>
      <c r="W117" s="80"/>
      <c r="X117" s="80"/>
      <c r="Y117" s="80"/>
      <c r="Z117" s="80"/>
    </row>
    <row r="118" spans="1:26" x14ac:dyDescent="0.25">
      <c r="A118" s="80" t="s">
        <v>594</v>
      </c>
      <c r="B118" s="93">
        <f>IF('Bank Accounts'!A16&lt;&gt;"",'Bank Accounts'!A16,".N/A.")</f>
        <v>10</v>
      </c>
      <c r="C118" s="93" t="str">
        <f>IF('Bank Accounts'!B16&lt;&gt;"",'Bank Accounts'!B16,".N/A.")</f>
        <v>.N/A.</v>
      </c>
      <c r="D118" s="80" t="str">
        <f>IF('Bank Accounts'!C16&lt;&gt;"",'Bank Accounts'!C16,".N/A.")</f>
        <v>.N/A.</v>
      </c>
      <c r="E118" s="96" t="str">
        <f>IF('Bank Accounts'!D16&lt;&gt;"",'Bank Accounts'!D16,".N/A.")</f>
        <v>.N/A.</v>
      </c>
      <c r="F118" s="80" t="str">
        <f>IF('Bank Accounts'!E16&lt;&gt;"",'Bank Accounts'!E16,".N/A.")</f>
        <v>.N/A.</v>
      </c>
      <c r="G118" s="96" t="str">
        <f>IF('Bank Accounts'!F16&lt;&gt;"",'Bank Accounts'!F16,".N/A.")</f>
        <v>.N/A.</v>
      </c>
      <c r="H118" s="80"/>
      <c r="I118" s="80"/>
      <c r="J118" s="80"/>
      <c r="K118" s="80"/>
      <c r="L118" s="80"/>
      <c r="M118" s="80"/>
      <c r="N118" s="80"/>
      <c r="O118" s="80"/>
      <c r="P118" s="80"/>
      <c r="Q118" s="80"/>
      <c r="R118" s="80"/>
      <c r="S118" s="80"/>
      <c r="T118" s="80"/>
      <c r="U118" s="80"/>
      <c r="V118" s="80"/>
      <c r="W118" s="80"/>
      <c r="X118" s="80"/>
      <c r="Y118" s="80"/>
      <c r="Z118" s="80"/>
    </row>
    <row r="119" spans="1:26" x14ac:dyDescent="0.25">
      <c r="A119" s="80" t="s">
        <v>594</v>
      </c>
      <c r="B119" s="93">
        <f>IF('Bank Accounts'!A17&lt;&gt;"",'Bank Accounts'!A17,".N/A.")</f>
        <v>11</v>
      </c>
      <c r="C119" s="93" t="str">
        <f>IF('Bank Accounts'!B17&lt;&gt;"",'Bank Accounts'!B17,".N/A.")</f>
        <v>.N/A.</v>
      </c>
      <c r="D119" s="80" t="str">
        <f>IF('Bank Accounts'!C17&lt;&gt;"",'Bank Accounts'!C17,".N/A.")</f>
        <v>.N/A.</v>
      </c>
      <c r="E119" s="96" t="str">
        <f>IF('Bank Accounts'!D17&lt;&gt;"",'Bank Accounts'!D17,".N/A.")</f>
        <v>.N/A.</v>
      </c>
      <c r="F119" s="80" t="str">
        <f>IF('Bank Accounts'!E17&lt;&gt;"",'Bank Accounts'!E17,".N/A.")</f>
        <v>.N/A.</v>
      </c>
      <c r="G119" s="96" t="str">
        <f>IF('Bank Accounts'!F17&lt;&gt;"",'Bank Accounts'!F17,".N/A.")</f>
        <v>.N/A.</v>
      </c>
      <c r="H119" s="80"/>
      <c r="I119" s="80"/>
      <c r="J119" s="80"/>
      <c r="K119" s="80"/>
      <c r="L119" s="80"/>
      <c r="M119" s="80"/>
      <c r="N119" s="80"/>
      <c r="O119" s="80"/>
      <c r="P119" s="80"/>
      <c r="Q119" s="80"/>
      <c r="R119" s="80"/>
      <c r="S119" s="80"/>
      <c r="T119" s="80"/>
      <c r="U119" s="80"/>
      <c r="V119" s="80"/>
      <c r="W119" s="80"/>
      <c r="X119" s="80"/>
      <c r="Y119" s="80"/>
      <c r="Z119" s="80"/>
    </row>
    <row r="120" spans="1:26" x14ac:dyDescent="0.25">
      <c r="A120" s="80" t="s">
        <v>594</v>
      </c>
      <c r="B120" s="93">
        <f>IF('Bank Accounts'!A18&lt;&gt;"",'Bank Accounts'!A18,".N/A.")</f>
        <v>12</v>
      </c>
      <c r="C120" s="93" t="str">
        <f>IF('Bank Accounts'!B18&lt;&gt;"",'Bank Accounts'!B18,".N/A.")</f>
        <v>.N/A.</v>
      </c>
      <c r="D120" s="80" t="str">
        <f>IF('Bank Accounts'!C18&lt;&gt;"",'Bank Accounts'!C18,".N/A.")</f>
        <v>.N/A.</v>
      </c>
      <c r="E120" s="96" t="str">
        <f>IF('Bank Accounts'!D18&lt;&gt;"",'Bank Accounts'!D18,".N/A.")</f>
        <v>.N/A.</v>
      </c>
      <c r="F120" s="80" t="str">
        <f>IF('Bank Accounts'!E18&lt;&gt;"",'Bank Accounts'!E18,".N/A.")</f>
        <v>.N/A.</v>
      </c>
      <c r="G120" s="96" t="str">
        <f>IF('Bank Accounts'!F18&lt;&gt;"",'Bank Accounts'!F18,".N/A.")</f>
        <v>.N/A.</v>
      </c>
      <c r="H120" s="80"/>
      <c r="I120" s="80"/>
      <c r="J120" s="80"/>
      <c r="K120" s="80"/>
      <c r="L120" s="80"/>
      <c r="M120" s="80"/>
      <c r="N120" s="80"/>
      <c r="O120" s="80"/>
      <c r="P120" s="80"/>
      <c r="Q120" s="80"/>
      <c r="R120" s="80"/>
      <c r="S120" s="80"/>
      <c r="T120" s="80"/>
      <c r="U120" s="80"/>
      <c r="V120" s="80"/>
      <c r="W120" s="80"/>
      <c r="X120" s="80"/>
      <c r="Y120" s="80"/>
      <c r="Z120" s="80"/>
    </row>
    <row r="121" spans="1:26" x14ac:dyDescent="0.25">
      <c r="A121" s="80" t="s">
        <v>594</v>
      </c>
      <c r="B121" s="93">
        <f>IF('Bank Accounts'!A19&lt;&gt;"",'Bank Accounts'!A19,".N/A.")</f>
        <v>13</v>
      </c>
      <c r="C121" s="93" t="str">
        <f>IF('Bank Accounts'!B19&lt;&gt;"",'Bank Accounts'!B19,".N/A.")</f>
        <v>.N/A.</v>
      </c>
      <c r="D121" s="80" t="str">
        <f>IF('Bank Accounts'!C19&lt;&gt;"",'Bank Accounts'!C19,".N/A.")</f>
        <v>.N/A.</v>
      </c>
      <c r="E121" s="96" t="str">
        <f>IF('Bank Accounts'!D19&lt;&gt;"",'Bank Accounts'!D19,".N/A.")</f>
        <v>.N/A.</v>
      </c>
      <c r="F121" s="80" t="str">
        <f>IF('Bank Accounts'!E19&lt;&gt;"",'Bank Accounts'!E19,".N/A.")</f>
        <v>.N/A.</v>
      </c>
      <c r="G121" s="96" t="str">
        <f>IF('Bank Accounts'!F19&lt;&gt;"",'Bank Accounts'!F19,".N/A.")</f>
        <v>.N/A.</v>
      </c>
      <c r="H121" s="80"/>
      <c r="I121" s="80"/>
      <c r="J121" s="80"/>
      <c r="K121" s="80"/>
      <c r="L121" s="80"/>
      <c r="M121" s="80"/>
      <c r="N121" s="80"/>
      <c r="O121" s="80"/>
      <c r="P121" s="80"/>
      <c r="Q121" s="80"/>
      <c r="R121" s="80"/>
      <c r="S121" s="80"/>
      <c r="T121" s="80"/>
      <c r="U121" s="80"/>
      <c r="V121" s="80"/>
      <c r="W121" s="80"/>
      <c r="X121" s="80"/>
      <c r="Y121" s="80"/>
      <c r="Z121" s="80"/>
    </row>
    <row r="122" spans="1:26" x14ac:dyDescent="0.25">
      <c r="A122" s="80" t="s">
        <v>594</v>
      </c>
      <c r="B122" s="93">
        <f>IF('Bank Accounts'!A20&lt;&gt;"",'Bank Accounts'!A20,".N/A.")</f>
        <v>14</v>
      </c>
      <c r="C122" s="93" t="str">
        <f>IF('Bank Accounts'!B20&lt;&gt;"",'Bank Accounts'!B20,".N/A.")</f>
        <v>.N/A.</v>
      </c>
      <c r="D122" s="80" t="str">
        <f>IF('Bank Accounts'!C20&lt;&gt;"",'Bank Accounts'!C20,".N/A.")</f>
        <v>.N/A.</v>
      </c>
      <c r="E122" s="96" t="str">
        <f>IF('Bank Accounts'!D20&lt;&gt;"",'Bank Accounts'!D20,".N/A.")</f>
        <v>.N/A.</v>
      </c>
      <c r="F122" s="80" t="str">
        <f>IF('Bank Accounts'!E20&lt;&gt;"",'Bank Accounts'!E20,".N/A.")</f>
        <v>.N/A.</v>
      </c>
      <c r="G122" s="96" t="str">
        <f>IF('Bank Accounts'!F20&lt;&gt;"",'Bank Accounts'!F20,".N/A.")</f>
        <v>.N/A.</v>
      </c>
      <c r="H122" s="80"/>
      <c r="I122" s="80"/>
      <c r="J122" s="80"/>
      <c r="K122" s="80"/>
      <c r="L122" s="80"/>
      <c r="M122" s="80"/>
      <c r="N122" s="80"/>
      <c r="O122" s="80"/>
      <c r="P122" s="80"/>
      <c r="Q122" s="80"/>
      <c r="R122" s="80"/>
      <c r="S122" s="80"/>
      <c r="T122" s="80"/>
      <c r="U122" s="80"/>
      <c r="V122" s="80"/>
      <c r="W122" s="80"/>
      <c r="X122" s="80"/>
      <c r="Y122" s="80"/>
      <c r="Z122" s="80"/>
    </row>
    <row r="123" spans="1:26" x14ac:dyDescent="0.25">
      <c r="A123" s="80" t="s">
        <v>594</v>
      </c>
      <c r="B123" s="93">
        <f>IF('Bank Accounts'!A21&lt;&gt;"",'Bank Accounts'!A21,".N/A.")</f>
        <v>15</v>
      </c>
      <c r="C123" s="93" t="str">
        <f>IF('Bank Accounts'!B21&lt;&gt;"",'Bank Accounts'!B21,".N/A.")</f>
        <v>.N/A.</v>
      </c>
      <c r="D123" s="80" t="str">
        <f>IF('Bank Accounts'!C21&lt;&gt;"",'Bank Accounts'!C21,".N/A.")</f>
        <v>.N/A.</v>
      </c>
      <c r="E123" s="96" t="str">
        <f>IF('Bank Accounts'!D21&lt;&gt;"",'Bank Accounts'!D21,".N/A.")</f>
        <v>.N/A.</v>
      </c>
      <c r="F123" s="80" t="str">
        <f>IF('Bank Accounts'!E21&lt;&gt;"",'Bank Accounts'!E21,".N/A.")</f>
        <v>.N/A.</v>
      </c>
      <c r="G123" s="96" t="str">
        <f>IF('Bank Accounts'!F21&lt;&gt;"",'Bank Accounts'!F21,".N/A.")</f>
        <v>.N/A.</v>
      </c>
      <c r="H123" s="80"/>
      <c r="I123" s="80"/>
      <c r="J123" s="80"/>
      <c r="K123" s="80"/>
      <c r="L123" s="80"/>
      <c r="M123" s="80"/>
      <c r="N123" s="80"/>
      <c r="O123" s="80"/>
      <c r="P123" s="80"/>
      <c r="Q123" s="80"/>
      <c r="R123" s="80"/>
      <c r="S123" s="80"/>
      <c r="T123" s="80"/>
      <c r="U123" s="80"/>
      <c r="V123" s="80"/>
      <c r="W123" s="80"/>
      <c r="X123" s="80"/>
      <c r="Y123" s="80"/>
      <c r="Z123" s="80"/>
    </row>
    <row r="124" spans="1:26" x14ac:dyDescent="0.25">
      <c r="A124" s="80" t="s">
        <v>594</v>
      </c>
      <c r="B124" s="93">
        <f>IF('Bank Accounts'!A22&lt;&gt;"",'Bank Accounts'!A22,".N/A.")</f>
        <v>16</v>
      </c>
      <c r="C124" s="93" t="str">
        <f>IF('Bank Accounts'!B22&lt;&gt;"",'Bank Accounts'!B22,".N/A.")</f>
        <v>.N/A.</v>
      </c>
      <c r="D124" s="80" t="str">
        <f>IF('Bank Accounts'!C22&lt;&gt;"",'Bank Accounts'!C22,".N/A.")</f>
        <v>.N/A.</v>
      </c>
      <c r="E124" s="96" t="str">
        <f>IF('Bank Accounts'!D22&lt;&gt;"",'Bank Accounts'!D22,".N/A.")</f>
        <v>.N/A.</v>
      </c>
      <c r="F124" s="80" t="str">
        <f>IF('Bank Accounts'!E22&lt;&gt;"",'Bank Accounts'!E22,".N/A.")</f>
        <v>.N/A.</v>
      </c>
      <c r="G124" s="96" t="str">
        <f>IF('Bank Accounts'!F22&lt;&gt;"",'Bank Accounts'!F22,".N/A.")</f>
        <v>.N/A.</v>
      </c>
      <c r="H124" s="80"/>
      <c r="I124" s="80"/>
      <c r="J124" s="80"/>
      <c r="K124" s="80"/>
      <c r="L124" s="80"/>
      <c r="M124" s="80"/>
      <c r="N124" s="80"/>
      <c r="O124" s="80"/>
      <c r="P124" s="80"/>
      <c r="Q124" s="80"/>
      <c r="R124" s="80"/>
      <c r="S124" s="80"/>
      <c r="T124" s="80"/>
      <c r="U124" s="80"/>
      <c r="V124" s="80"/>
      <c r="W124" s="80"/>
      <c r="X124" s="80"/>
      <c r="Y124" s="80"/>
      <c r="Z124" s="80"/>
    </row>
    <row r="125" spans="1:26" x14ac:dyDescent="0.25">
      <c r="A125" s="80" t="s">
        <v>594</v>
      </c>
      <c r="B125" s="93">
        <f>IF('Bank Accounts'!A23&lt;&gt;"",'Bank Accounts'!A23,".N/A.")</f>
        <v>17</v>
      </c>
      <c r="C125" s="93" t="str">
        <f>IF('Bank Accounts'!B23&lt;&gt;"",'Bank Accounts'!B23,".N/A.")</f>
        <v>.N/A.</v>
      </c>
      <c r="D125" s="80" t="str">
        <f>IF('Bank Accounts'!C23&lt;&gt;"",'Bank Accounts'!C23,".N/A.")</f>
        <v>.N/A.</v>
      </c>
      <c r="E125" s="96" t="str">
        <f>IF('Bank Accounts'!D23&lt;&gt;"",'Bank Accounts'!D23,".N/A.")</f>
        <v>.N/A.</v>
      </c>
      <c r="F125" s="80" t="str">
        <f>IF('Bank Accounts'!E23&lt;&gt;"",'Bank Accounts'!E23,".N/A.")</f>
        <v>.N/A.</v>
      </c>
      <c r="G125" s="96" t="str">
        <f>IF('Bank Accounts'!F23&lt;&gt;"",'Bank Accounts'!F23,".N/A.")</f>
        <v>.N/A.</v>
      </c>
      <c r="H125" s="80"/>
      <c r="I125" s="80"/>
      <c r="J125" s="80"/>
      <c r="K125" s="80"/>
      <c r="L125" s="80"/>
      <c r="M125" s="80"/>
      <c r="N125" s="80"/>
      <c r="O125" s="80"/>
      <c r="P125" s="80"/>
      <c r="Q125" s="80"/>
      <c r="R125" s="80"/>
      <c r="S125" s="80"/>
      <c r="T125" s="80"/>
      <c r="U125" s="80"/>
      <c r="V125" s="80"/>
      <c r="W125" s="80"/>
      <c r="X125" s="80"/>
      <c r="Y125" s="80"/>
      <c r="Z125" s="80"/>
    </row>
    <row r="126" spans="1:26" x14ac:dyDescent="0.25">
      <c r="A126" s="80" t="s">
        <v>594</v>
      </c>
      <c r="B126" s="93">
        <f>IF('Bank Accounts'!A24&lt;&gt;"",'Bank Accounts'!A24,".N/A.")</f>
        <v>18</v>
      </c>
      <c r="C126" s="93" t="str">
        <f>IF('Bank Accounts'!B24&lt;&gt;"",'Bank Accounts'!B24,".N/A.")</f>
        <v>.N/A.</v>
      </c>
      <c r="D126" s="80" t="str">
        <f>IF('Bank Accounts'!C24&lt;&gt;"",'Bank Accounts'!C24,".N/A.")</f>
        <v>.N/A.</v>
      </c>
      <c r="E126" s="96" t="str">
        <f>IF('Bank Accounts'!D24&lt;&gt;"",'Bank Accounts'!D24,".N/A.")</f>
        <v>.N/A.</v>
      </c>
      <c r="F126" s="80" t="str">
        <f>IF('Bank Accounts'!E24&lt;&gt;"",'Bank Accounts'!E24,".N/A.")</f>
        <v>.N/A.</v>
      </c>
      <c r="G126" s="96" t="str">
        <f>IF('Bank Accounts'!F24&lt;&gt;"",'Bank Accounts'!F24,".N/A.")</f>
        <v>.N/A.</v>
      </c>
      <c r="H126" s="80"/>
      <c r="I126" s="80"/>
      <c r="J126" s="80"/>
      <c r="K126" s="80"/>
      <c r="L126" s="80"/>
      <c r="M126" s="80"/>
      <c r="N126" s="80"/>
      <c r="O126" s="80"/>
      <c r="P126" s="80"/>
      <c r="Q126" s="80"/>
      <c r="R126" s="80"/>
      <c r="S126" s="80"/>
      <c r="T126" s="80"/>
      <c r="U126" s="80"/>
      <c r="V126" s="80"/>
      <c r="W126" s="80"/>
      <c r="X126" s="80"/>
      <c r="Y126" s="80"/>
      <c r="Z126" s="80"/>
    </row>
    <row r="127" spans="1:26" x14ac:dyDescent="0.25">
      <c r="A127" s="80" t="s">
        <v>594</v>
      </c>
      <c r="B127" s="93">
        <f>IF('Bank Accounts'!A25&lt;&gt;"",'Bank Accounts'!A25,".N/A.")</f>
        <v>19</v>
      </c>
      <c r="C127" s="93" t="str">
        <f>IF('Bank Accounts'!B25&lt;&gt;"",'Bank Accounts'!B25,".N/A.")</f>
        <v>.N/A.</v>
      </c>
      <c r="D127" s="80" t="str">
        <f>IF('Bank Accounts'!C25&lt;&gt;"",'Bank Accounts'!C25,".N/A.")</f>
        <v>.N/A.</v>
      </c>
      <c r="E127" s="96" t="str">
        <f>IF('Bank Accounts'!D25&lt;&gt;"",'Bank Accounts'!D25,".N/A.")</f>
        <v>.N/A.</v>
      </c>
      <c r="F127" s="80" t="str">
        <f>IF('Bank Accounts'!E25&lt;&gt;"",'Bank Accounts'!E25,".N/A.")</f>
        <v>.N/A.</v>
      </c>
      <c r="G127" s="96" t="str">
        <f>IF('Bank Accounts'!F25&lt;&gt;"",'Bank Accounts'!F25,".N/A.")</f>
        <v>.N/A.</v>
      </c>
      <c r="H127" s="80"/>
      <c r="I127" s="80"/>
      <c r="J127" s="80"/>
      <c r="K127" s="80"/>
      <c r="L127" s="80"/>
      <c r="M127" s="80"/>
      <c r="N127" s="80"/>
      <c r="O127" s="80"/>
      <c r="P127" s="80"/>
      <c r="Q127" s="80"/>
      <c r="R127" s="80"/>
      <c r="S127" s="80"/>
      <c r="T127" s="80"/>
      <c r="U127" s="80"/>
      <c r="V127" s="80"/>
      <c r="W127" s="80"/>
      <c r="X127" s="80"/>
      <c r="Y127" s="80"/>
      <c r="Z127" s="80"/>
    </row>
    <row r="128" spans="1:26" x14ac:dyDescent="0.25">
      <c r="A128" s="80" t="s">
        <v>594</v>
      </c>
      <c r="B128" s="93">
        <f>IF('Bank Accounts'!A26&lt;&gt;"",'Bank Accounts'!A26,".N/A.")</f>
        <v>20</v>
      </c>
      <c r="C128" s="93" t="str">
        <f>IF('Bank Accounts'!B26&lt;&gt;"",'Bank Accounts'!B26,".N/A.")</f>
        <v>.N/A.</v>
      </c>
      <c r="D128" s="80" t="str">
        <f>IF('Bank Accounts'!C26&lt;&gt;"",'Bank Accounts'!C26,".N/A.")</f>
        <v>.N/A.</v>
      </c>
      <c r="E128" s="96" t="str">
        <f>IF('Bank Accounts'!D26&lt;&gt;"",'Bank Accounts'!D26,".N/A.")</f>
        <v>.N/A.</v>
      </c>
      <c r="F128" s="80" t="str">
        <f>IF('Bank Accounts'!E26&lt;&gt;"",'Bank Accounts'!E26,".N/A.")</f>
        <v>.N/A.</v>
      </c>
      <c r="G128" s="96" t="str">
        <f>IF('Bank Accounts'!F26&lt;&gt;"",'Bank Accounts'!F26,".N/A.")</f>
        <v>.N/A.</v>
      </c>
      <c r="H128" s="80"/>
      <c r="I128" s="80"/>
      <c r="J128" s="80"/>
      <c r="K128" s="80"/>
      <c r="L128" s="80"/>
      <c r="M128" s="80"/>
      <c r="N128" s="80"/>
      <c r="O128" s="80"/>
      <c r="P128" s="80"/>
      <c r="Q128" s="80"/>
      <c r="R128" s="80"/>
      <c r="S128" s="80"/>
      <c r="T128" s="80"/>
      <c r="U128" s="80"/>
      <c r="V128" s="80"/>
      <c r="W128" s="80"/>
      <c r="X128" s="80"/>
      <c r="Y128" s="80"/>
      <c r="Z128" s="80"/>
    </row>
    <row r="129" spans="1:26" x14ac:dyDescent="0.25">
      <c r="A129" s="80" t="s">
        <v>594</v>
      </c>
      <c r="B129" s="93">
        <f>IF('Bank Accounts'!A27&lt;&gt;"",'Bank Accounts'!A27,".N/A.")</f>
        <v>21</v>
      </c>
      <c r="C129" s="93" t="str">
        <f>IF('Bank Accounts'!B27&lt;&gt;"",'Bank Accounts'!B27,".N/A.")</f>
        <v>.N/A.</v>
      </c>
      <c r="D129" s="80" t="str">
        <f>IF('Bank Accounts'!C27&lt;&gt;"",'Bank Accounts'!C27,".N/A.")</f>
        <v>.N/A.</v>
      </c>
      <c r="E129" s="96" t="str">
        <f>IF('Bank Accounts'!D27&lt;&gt;"",'Bank Accounts'!D27,".N/A.")</f>
        <v>.N/A.</v>
      </c>
      <c r="F129" s="80" t="str">
        <f>IF('Bank Accounts'!E27&lt;&gt;"",'Bank Accounts'!E27,".N/A.")</f>
        <v>.N/A.</v>
      </c>
      <c r="G129" s="96" t="str">
        <f>IF('Bank Accounts'!F27&lt;&gt;"",'Bank Accounts'!F27,".N/A.")</f>
        <v>.N/A.</v>
      </c>
      <c r="H129" s="80"/>
      <c r="I129" s="80"/>
      <c r="J129" s="80"/>
      <c r="K129" s="80"/>
      <c r="L129" s="80"/>
      <c r="M129" s="80"/>
      <c r="N129" s="80"/>
      <c r="O129" s="80"/>
      <c r="P129" s="80"/>
      <c r="Q129" s="80"/>
      <c r="R129" s="80"/>
      <c r="S129" s="80"/>
      <c r="T129" s="80"/>
      <c r="U129" s="80"/>
      <c r="V129" s="80"/>
      <c r="W129" s="80"/>
      <c r="X129" s="80"/>
      <c r="Y129" s="80"/>
      <c r="Z129" s="80"/>
    </row>
    <row r="130" spans="1:26" x14ac:dyDescent="0.25">
      <c r="A130" s="80" t="s">
        <v>594</v>
      </c>
      <c r="B130" s="93">
        <f>IF('Bank Accounts'!A28&lt;&gt;"",'Bank Accounts'!A28,".N/A.")</f>
        <v>22</v>
      </c>
      <c r="C130" s="93" t="str">
        <f>IF('Bank Accounts'!B28&lt;&gt;"",'Bank Accounts'!B28,".N/A.")</f>
        <v>.N/A.</v>
      </c>
      <c r="D130" s="80" t="str">
        <f>IF('Bank Accounts'!C28&lt;&gt;"",'Bank Accounts'!C28,".N/A.")</f>
        <v>.N/A.</v>
      </c>
      <c r="E130" s="96" t="str">
        <f>IF('Bank Accounts'!D28&lt;&gt;"",'Bank Accounts'!D28,".N/A.")</f>
        <v>.N/A.</v>
      </c>
      <c r="F130" s="80" t="str">
        <f>IF('Bank Accounts'!E28&lt;&gt;"",'Bank Accounts'!E28,".N/A.")</f>
        <v>.N/A.</v>
      </c>
      <c r="G130" s="96" t="str">
        <f>IF('Bank Accounts'!F28&lt;&gt;"",'Bank Accounts'!F28,".N/A.")</f>
        <v>.N/A.</v>
      </c>
      <c r="H130" s="80"/>
      <c r="I130" s="80"/>
      <c r="J130" s="80"/>
      <c r="K130" s="80"/>
      <c r="L130" s="80"/>
      <c r="M130" s="80"/>
      <c r="N130" s="80"/>
      <c r="O130" s="80"/>
      <c r="P130" s="80"/>
      <c r="Q130" s="80"/>
      <c r="R130" s="80"/>
      <c r="S130" s="80"/>
      <c r="T130" s="80"/>
      <c r="U130" s="80"/>
      <c r="V130" s="80"/>
      <c r="W130" s="80"/>
      <c r="X130" s="80"/>
      <c r="Y130" s="80"/>
      <c r="Z130" s="80"/>
    </row>
    <row r="131" spans="1:26" x14ac:dyDescent="0.25">
      <c r="A131" s="80" t="s">
        <v>594</v>
      </c>
      <c r="B131" s="93">
        <f>IF('Bank Accounts'!A29&lt;&gt;"",'Bank Accounts'!A29,".N/A.")</f>
        <v>23</v>
      </c>
      <c r="C131" s="93" t="str">
        <f>IF('Bank Accounts'!B29&lt;&gt;"",'Bank Accounts'!B29,".N/A.")</f>
        <v>.N/A.</v>
      </c>
      <c r="D131" s="80" t="str">
        <f>IF('Bank Accounts'!C29&lt;&gt;"",'Bank Accounts'!C29,".N/A.")</f>
        <v>.N/A.</v>
      </c>
      <c r="E131" s="96" t="str">
        <f>IF('Bank Accounts'!D29&lt;&gt;"",'Bank Accounts'!D29,".N/A.")</f>
        <v>.N/A.</v>
      </c>
      <c r="F131" s="80" t="str">
        <f>IF('Bank Accounts'!E29&lt;&gt;"",'Bank Accounts'!E29,".N/A.")</f>
        <v>.N/A.</v>
      </c>
      <c r="G131" s="96" t="str">
        <f>IF('Bank Accounts'!F29&lt;&gt;"",'Bank Accounts'!F29,".N/A.")</f>
        <v>.N/A.</v>
      </c>
      <c r="H131" s="80"/>
      <c r="I131" s="80"/>
      <c r="J131" s="80"/>
      <c r="K131" s="80"/>
      <c r="L131" s="80"/>
      <c r="M131" s="80"/>
      <c r="N131" s="80"/>
      <c r="O131" s="80"/>
      <c r="P131" s="80"/>
      <c r="Q131" s="80"/>
      <c r="R131" s="80"/>
      <c r="S131" s="80"/>
      <c r="T131" s="80"/>
      <c r="U131" s="80"/>
      <c r="V131" s="80"/>
      <c r="W131" s="80"/>
      <c r="X131" s="80"/>
      <c r="Y131" s="80"/>
      <c r="Z131" s="80"/>
    </row>
    <row r="132" spans="1:26" x14ac:dyDescent="0.25">
      <c r="A132" s="80" t="s">
        <v>594</v>
      </c>
      <c r="B132" s="93">
        <f>IF('Bank Accounts'!A30&lt;&gt;"",'Bank Accounts'!A30,".N/A.")</f>
        <v>24</v>
      </c>
      <c r="C132" s="93" t="str">
        <f>IF('Bank Accounts'!B30&lt;&gt;"",'Bank Accounts'!B30,".N/A.")</f>
        <v>.N/A.</v>
      </c>
      <c r="D132" s="80" t="str">
        <f>IF('Bank Accounts'!C30&lt;&gt;"",'Bank Accounts'!C30,".N/A.")</f>
        <v>.N/A.</v>
      </c>
      <c r="E132" s="96" t="str">
        <f>IF('Bank Accounts'!D30&lt;&gt;"",'Bank Accounts'!D30,".N/A.")</f>
        <v>.N/A.</v>
      </c>
      <c r="F132" s="80" t="str">
        <f>IF('Bank Accounts'!E30&lt;&gt;"",'Bank Accounts'!E30,".N/A.")</f>
        <v>.N/A.</v>
      </c>
      <c r="G132" s="96" t="str">
        <f>IF('Bank Accounts'!F30&lt;&gt;"",'Bank Accounts'!F30,".N/A.")</f>
        <v>.N/A.</v>
      </c>
      <c r="H132" s="80"/>
      <c r="I132" s="80"/>
      <c r="J132" s="80"/>
      <c r="K132" s="80"/>
      <c r="L132" s="80"/>
      <c r="M132" s="80"/>
      <c r="N132" s="80"/>
      <c r="O132" s="80"/>
      <c r="P132" s="80"/>
      <c r="Q132" s="80"/>
      <c r="R132" s="80"/>
      <c r="S132" s="80"/>
      <c r="T132" s="80"/>
      <c r="U132" s="80"/>
      <c r="V132" s="80"/>
      <c r="W132" s="80"/>
      <c r="X132" s="80"/>
      <c r="Y132" s="80"/>
      <c r="Z132" s="80"/>
    </row>
    <row r="133" spans="1:26" x14ac:dyDescent="0.25">
      <c r="A133" s="80" t="s">
        <v>594</v>
      </c>
      <c r="B133" s="93">
        <f>IF('Bank Accounts'!A31&lt;&gt;"",'Bank Accounts'!A31,".N/A.")</f>
        <v>25</v>
      </c>
      <c r="C133" s="93" t="str">
        <f>IF('Bank Accounts'!B31&lt;&gt;"",'Bank Accounts'!B31,".N/A.")</f>
        <v>.N/A.</v>
      </c>
      <c r="D133" s="80" t="str">
        <f>IF('Bank Accounts'!C31&lt;&gt;"",'Bank Accounts'!C31,".N/A.")</f>
        <v>.N/A.</v>
      </c>
      <c r="E133" s="96" t="str">
        <f>IF('Bank Accounts'!D31&lt;&gt;"",'Bank Accounts'!D31,".N/A.")</f>
        <v>.N/A.</v>
      </c>
      <c r="F133" s="80" t="str">
        <f>IF('Bank Accounts'!E31&lt;&gt;"",'Bank Accounts'!E31,".N/A.")</f>
        <v>.N/A.</v>
      </c>
      <c r="G133" s="96" t="str">
        <f>IF('Bank Accounts'!F31&lt;&gt;"",'Bank Accounts'!F31,".N/A.")</f>
        <v>.N/A.</v>
      </c>
      <c r="H133" s="80"/>
      <c r="I133" s="80"/>
      <c r="J133" s="80"/>
      <c r="K133" s="80"/>
      <c r="L133" s="80"/>
      <c r="M133" s="80"/>
      <c r="N133" s="80"/>
      <c r="O133" s="80"/>
      <c r="P133" s="80"/>
      <c r="Q133" s="80"/>
      <c r="R133" s="80"/>
      <c r="S133" s="80"/>
      <c r="T133" s="80"/>
      <c r="U133" s="80"/>
      <c r="V133" s="80"/>
      <c r="W133" s="80"/>
      <c r="X133" s="80"/>
      <c r="Y133" s="80"/>
      <c r="Z133" s="80"/>
    </row>
    <row r="134" spans="1:26" x14ac:dyDescent="0.25">
      <c r="A134" s="80" t="s">
        <v>594</v>
      </c>
      <c r="B134" s="93">
        <f>IF('Bank Accounts'!A32&lt;&gt;"",'Bank Accounts'!A32,".N/A.")</f>
        <v>26</v>
      </c>
      <c r="C134" s="93" t="str">
        <f>IF('Bank Accounts'!B32&lt;&gt;"",'Bank Accounts'!B32,".N/A.")</f>
        <v>.N/A.</v>
      </c>
      <c r="D134" s="80" t="str">
        <f>IF('Bank Accounts'!C32&lt;&gt;"",'Bank Accounts'!C32,".N/A.")</f>
        <v>.N/A.</v>
      </c>
      <c r="E134" s="96" t="str">
        <f>IF('Bank Accounts'!D32&lt;&gt;"",'Bank Accounts'!D32,".N/A.")</f>
        <v>.N/A.</v>
      </c>
      <c r="F134" s="80" t="str">
        <f>IF('Bank Accounts'!E32&lt;&gt;"",'Bank Accounts'!E32,".N/A.")</f>
        <v>.N/A.</v>
      </c>
      <c r="G134" s="96" t="str">
        <f>IF('Bank Accounts'!F32&lt;&gt;"",'Bank Accounts'!F32,".N/A.")</f>
        <v>.N/A.</v>
      </c>
      <c r="H134" s="80"/>
      <c r="I134" s="80"/>
      <c r="J134" s="80"/>
      <c r="K134" s="80"/>
      <c r="L134" s="80"/>
      <c r="M134" s="80"/>
      <c r="N134" s="80"/>
      <c r="O134" s="80"/>
      <c r="P134" s="80"/>
      <c r="Q134" s="80"/>
      <c r="R134" s="80"/>
      <c r="S134" s="80"/>
      <c r="T134" s="80"/>
      <c r="U134" s="80"/>
      <c r="V134" s="80"/>
      <c r="W134" s="80"/>
      <c r="X134" s="80"/>
      <c r="Y134" s="80"/>
      <c r="Z134" s="80"/>
    </row>
    <row r="135" spans="1:26" x14ac:dyDescent="0.25">
      <c r="A135" s="80" t="s">
        <v>594</v>
      </c>
      <c r="B135" s="93">
        <f>IF('Bank Accounts'!A33&lt;&gt;"",'Bank Accounts'!A33,".N/A.")</f>
        <v>27</v>
      </c>
      <c r="C135" s="93" t="str">
        <f>IF('Bank Accounts'!B33&lt;&gt;"",'Bank Accounts'!B33,".N/A.")</f>
        <v>.N/A.</v>
      </c>
      <c r="D135" s="80" t="str">
        <f>IF('Bank Accounts'!C33&lt;&gt;"",'Bank Accounts'!C33,".N/A.")</f>
        <v>.N/A.</v>
      </c>
      <c r="E135" s="96" t="str">
        <f>IF('Bank Accounts'!D33&lt;&gt;"",'Bank Accounts'!D33,".N/A.")</f>
        <v>.N/A.</v>
      </c>
      <c r="F135" s="80" t="str">
        <f>IF('Bank Accounts'!E33&lt;&gt;"",'Bank Accounts'!E33,".N/A.")</f>
        <v>.N/A.</v>
      </c>
      <c r="G135" s="96" t="str">
        <f>IF('Bank Accounts'!F33&lt;&gt;"",'Bank Accounts'!F33,".N/A.")</f>
        <v>.N/A.</v>
      </c>
      <c r="H135" s="80"/>
      <c r="I135" s="80"/>
      <c r="J135" s="80"/>
      <c r="K135" s="80"/>
      <c r="L135" s="80"/>
      <c r="M135" s="80"/>
      <c r="N135" s="80"/>
      <c r="O135" s="80"/>
      <c r="P135" s="80"/>
      <c r="Q135" s="80"/>
      <c r="R135" s="80"/>
      <c r="S135" s="80"/>
      <c r="T135" s="80"/>
      <c r="U135" s="80"/>
      <c r="V135" s="80"/>
      <c r="W135" s="80"/>
      <c r="X135" s="80"/>
      <c r="Y135" s="80"/>
      <c r="Z135" s="80"/>
    </row>
    <row r="136" spans="1:26" x14ac:dyDescent="0.25">
      <c r="A136" s="80" t="s">
        <v>594</v>
      </c>
      <c r="B136" s="93">
        <f>IF('Bank Accounts'!A34&lt;&gt;"",'Bank Accounts'!A34,".N/A.")</f>
        <v>28</v>
      </c>
      <c r="C136" s="93" t="str">
        <f>IF('Bank Accounts'!B34&lt;&gt;"",'Bank Accounts'!B34,".N/A.")</f>
        <v>.N/A.</v>
      </c>
      <c r="D136" s="80" t="str">
        <f>IF('Bank Accounts'!C34&lt;&gt;"",'Bank Accounts'!C34,".N/A.")</f>
        <v>.N/A.</v>
      </c>
      <c r="E136" s="96" t="str">
        <f>IF('Bank Accounts'!D34&lt;&gt;"",'Bank Accounts'!D34,".N/A.")</f>
        <v>.N/A.</v>
      </c>
      <c r="F136" s="80" t="str">
        <f>IF('Bank Accounts'!E34&lt;&gt;"",'Bank Accounts'!E34,".N/A.")</f>
        <v>.N/A.</v>
      </c>
      <c r="G136" s="96" t="str">
        <f>IF('Bank Accounts'!F34&lt;&gt;"",'Bank Accounts'!F34,".N/A.")</f>
        <v>.N/A.</v>
      </c>
      <c r="H136" s="80"/>
      <c r="I136" s="80"/>
      <c r="J136" s="80"/>
      <c r="K136" s="80"/>
      <c r="L136" s="80"/>
      <c r="M136" s="80"/>
      <c r="N136" s="80"/>
      <c r="O136" s="80"/>
      <c r="P136" s="80"/>
      <c r="Q136" s="80"/>
      <c r="R136" s="80"/>
      <c r="S136" s="80"/>
      <c r="T136" s="80"/>
      <c r="U136" s="80"/>
      <c r="V136" s="80"/>
      <c r="W136" s="80"/>
      <c r="X136" s="80"/>
      <c r="Y136" s="80"/>
      <c r="Z136" s="80"/>
    </row>
    <row r="137" spans="1:26" x14ac:dyDescent="0.25">
      <c r="A137" s="80" t="s">
        <v>594</v>
      </c>
      <c r="B137" s="93">
        <f>IF('Bank Accounts'!A35&lt;&gt;"",'Bank Accounts'!A35,".N/A.")</f>
        <v>29</v>
      </c>
      <c r="C137" s="93" t="str">
        <f>IF('Bank Accounts'!B35&lt;&gt;"",'Bank Accounts'!B35,".N/A.")</f>
        <v>.N/A.</v>
      </c>
      <c r="D137" s="80" t="str">
        <f>IF('Bank Accounts'!C35&lt;&gt;"",'Bank Accounts'!C35,".N/A.")</f>
        <v>.N/A.</v>
      </c>
      <c r="E137" s="96" t="str">
        <f>IF('Bank Accounts'!D35&lt;&gt;"",'Bank Accounts'!D35,".N/A.")</f>
        <v>.N/A.</v>
      </c>
      <c r="F137" s="80" t="str">
        <f>IF('Bank Accounts'!E35&lt;&gt;"",'Bank Accounts'!E35,".N/A.")</f>
        <v>.N/A.</v>
      </c>
      <c r="G137" s="96" t="str">
        <f>IF('Bank Accounts'!F35&lt;&gt;"",'Bank Accounts'!F35,".N/A.")</f>
        <v>.N/A.</v>
      </c>
      <c r="H137" s="80"/>
      <c r="I137" s="80"/>
      <c r="J137" s="80"/>
      <c r="K137" s="80"/>
      <c r="L137" s="80"/>
      <c r="M137" s="80"/>
      <c r="N137" s="80"/>
      <c r="O137" s="80"/>
      <c r="P137" s="80"/>
      <c r="Q137" s="80"/>
      <c r="R137" s="80"/>
      <c r="S137" s="80"/>
      <c r="T137" s="80"/>
      <c r="U137" s="80"/>
      <c r="V137" s="80"/>
      <c r="W137" s="80"/>
      <c r="X137" s="80"/>
      <c r="Y137" s="80"/>
      <c r="Z137" s="80"/>
    </row>
    <row r="138" spans="1:26" ht="15.75" thickBot="1" x14ac:dyDescent="0.3">
      <c r="A138" s="80" t="s">
        <v>594</v>
      </c>
      <c r="B138" s="93">
        <f>IF('Bank Accounts'!A36&lt;&gt;"",'Bank Accounts'!A36,".N/A.")</f>
        <v>30</v>
      </c>
      <c r="C138" s="93" t="str">
        <f>IF('Bank Accounts'!B36&lt;&gt;"",'Bank Accounts'!B36,".N/A.")</f>
        <v>.N/A.</v>
      </c>
      <c r="D138" s="80" t="str">
        <f>IF('Bank Accounts'!C36&lt;&gt;"",'Bank Accounts'!C36,".N/A.")</f>
        <v>.N/A.</v>
      </c>
      <c r="E138" s="96" t="str">
        <f>IF('Bank Accounts'!D36&lt;&gt;"",'Bank Accounts'!D36,".N/A.")</f>
        <v>.N/A.</v>
      </c>
      <c r="F138" s="80" t="str">
        <f>IF('Bank Accounts'!E36&lt;&gt;"",'Bank Accounts'!E36,".N/A.")</f>
        <v>.N/A.</v>
      </c>
      <c r="G138" s="96" t="str">
        <f>IF('Bank Accounts'!F36&lt;&gt;"",'Bank Accounts'!F36,".N/A.")</f>
        <v>.N/A.</v>
      </c>
      <c r="H138" s="80"/>
      <c r="I138" s="80"/>
      <c r="J138" s="80"/>
      <c r="K138" s="80"/>
      <c r="L138" s="80"/>
      <c r="M138" s="80"/>
      <c r="N138" s="80"/>
      <c r="O138" s="80"/>
      <c r="P138" s="80"/>
      <c r="Q138" s="80"/>
      <c r="R138" s="80"/>
      <c r="S138" s="80"/>
      <c r="T138" s="80"/>
      <c r="U138" s="80"/>
      <c r="V138" s="80"/>
      <c r="W138" s="80"/>
      <c r="X138" s="80"/>
      <c r="Y138" s="80"/>
      <c r="Z138" s="80"/>
    </row>
    <row r="139" spans="1:26" ht="15.75" thickBot="1" x14ac:dyDescent="0.3">
      <c r="A139" s="89" t="s">
        <v>633</v>
      </c>
      <c r="B139" s="94" t="s">
        <v>939</v>
      </c>
      <c r="C139" s="94" t="s">
        <v>633</v>
      </c>
      <c r="D139" s="90"/>
      <c r="E139" s="95"/>
      <c r="F139" s="80"/>
      <c r="G139" s="80"/>
      <c r="H139" s="80"/>
      <c r="I139" s="80"/>
      <c r="J139" s="80"/>
      <c r="K139" s="80"/>
      <c r="L139" s="80"/>
      <c r="M139" s="80"/>
      <c r="N139" s="80"/>
      <c r="O139" s="80"/>
      <c r="P139" s="80"/>
      <c r="Q139" s="80"/>
      <c r="R139" s="80"/>
      <c r="S139" s="80"/>
      <c r="T139" s="80"/>
      <c r="U139" s="80"/>
      <c r="V139" s="80"/>
      <c r="W139" s="80"/>
      <c r="X139" s="80"/>
      <c r="Y139" s="80"/>
      <c r="Z139" s="80"/>
    </row>
    <row r="140" spans="1:26" x14ac:dyDescent="0.25">
      <c r="A140" s="80" t="s">
        <v>633</v>
      </c>
      <c r="B140" s="93" t="str">
        <f>IF('AML Policy'!G8&lt;&gt;"",'AML Policy'!G8,"---")</f>
        <v>AMLUpToDateWithLegislation</v>
      </c>
      <c r="C140" s="93" t="str">
        <f>IF('AML Policy'!C8&lt;&gt;"",'AML Policy'!C8,".N/A.")</f>
        <v>.N/A.</v>
      </c>
      <c r="D140" s="80"/>
      <c r="E140" s="80"/>
      <c r="F140" s="80"/>
      <c r="G140" s="80"/>
      <c r="H140" s="80"/>
      <c r="I140" s="80"/>
      <c r="J140" s="80"/>
      <c r="K140" s="80"/>
      <c r="L140" s="80"/>
      <c r="M140" s="80"/>
      <c r="N140" s="80"/>
      <c r="O140" s="80"/>
      <c r="P140" s="80"/>
      <c r="Q140" s="80"/>
      <c r="R140" s="80"/>
      <c r="S140" s="80"/>
      <c r="T140" s="80"/>
      <c r="U140" s="80"/>
      <c r="V140" s="80"/>
      <c r="W140" s="80"/>
      <c r="X140" s="80"/>
      <c r="Y140" s="80"/>
      <c r="Z140" s="80"/>
    </row>
    <row r="141" spans="1:26" x14ac:dyDescent="0.25">
      <c r="A141" s="80" t="s">
        <v>633</v>
      </c>
      <c r="B141" s="93" t="str">
        <f>IF('AML Policy'!G9&lt;&gt;"",'AML Policy'!G9,"---")</f>
        <v>AMLIncludesLegislationInfo</v>
      </c>
      <c r="C141" s="93" t="str">
        <f>IF('AML Policy'!C9&lt;&gt;"",'AML Policy'!C9,".N/A.")</f>
        <v>.N/A.</v>
      </c>
      <c r="D141" s="80"/>
      <c r="E141" s="80"/>
      <c r="F141" s="80"/>
      <c r="G141" s="80"/>
      <c r="H141" s="80"/>
      <c r="I141" s="80"/>
      <c r="J141" s="80"/>
      <c r="K141" s="80"/>
      <c r="L141" s="80"/>
      <c r="M141" s="80"/>
      <c r="N141" s="80"/>
      <c r="O141" s="80"/>
      <c r="P141" s="80"/>
      <c r="Q141" s="80"/>
      <c r="R141" s="80"/>
      <c r="S141" s="80"/>
      <c r="T141" s="80"/>
      <c r="U141" s="80"/>
      <c r="V141" s="80"/>
      <c r="W141" s="80"/>
      <c r="X141" s="80"/>
      <c r="Y141" s="80"/>
      <c r="Z141" s="80"/>
    </row>
    <row r="142" spans="1:26" x14ac:dyDescent="0.25">
      <c r="A142" s="80" t="s">
        <v>633</v>
      </c>
      <c r="B142" s="93" t="str">
        <f>IF('AML Policy'!G10&lt;&gt;"",'AML Policy'!G10,"---")</f>
        <v>AMLIndependentAudit</v>
      </c>
      <c r="C142" s="93" t="str">
        <f>IF('AML Policy'!C10&lt;&gt;"",'AML Policy'!C10,".N/A.")</f>
        <v>.N/A.</v>
      </c>
      <c r="D142" s="80"/>
      <c r="E142" s="80"/>
      <c r="F142" s="80"/>
      <c r="G142" s="80"/>
      <c r="H142" s="80"/>
      <c r="I142" s="80"/>
      <c r="J142" s="80"/>
      <c r="K142" s="80"/>
      <c r="L142" s="80"/>
      <c r="M142" s="80"/>
      <c r="N142" s="80"/>
      <c r="O142" s="80"/>
      <c r="P142" s="80"/>
      <c r="Q142" s="80"/>
      <c r="R142" s="80"/>
      <c r="S142" s="80"/>
      <c r="T142" s="80"/>
      <c r="U142" s="80"/>
      <c r="V142" s="80"/>
      <c r="W142" s="80"/>
      <c r="X142" s="80"/>
      <c r="Y142" s="80"/>
      <c r="Z142" s="80"/>
    </row>
    <row r="143" spans="1:26" x14ac:dyDescent="0.25">
      <c r="A143" s="80" t="s">
        <v>633</v>
      </c>
      <c r="B143" s="93" t="str">
        <f>IF('AML Policy'!G11&lt;&gt;"",'AML Policy'!G11,"---")</f>
        <v>AMLCommentOnIndAudit</v>
      </c>
      <c r="C143" s="93" t="str">
        <f>IF('AML Policy'!B11&lt;&gt;"",'AML Policy'!B11,".N/A.")</f>
        <v>.N/A.</v>
      </c>
      <c r="D143" s="80"/>
      <c r="E143" s="80"/>
      <c r="F143" s="80"/>
      <c r="G143" s="80"/>
      <c r="H143" s="80"/>
      <c r="I143" s="80"/>
      <c r="J143" s="80"/>
      <c r="K143" s="80"/>
      <c r="L143" s="80"/>
      <c r="M143" s="80"/>
      <c r="N143" s="80"/>
      <c r="O143" s="80"/>
      <c r="P143" s="80"/>
      <c r="Q143" s="80"/>
      <c r="R143" s="80"/>
      <c r="S143" s="80"/>
      <c r="T143" s="80"/>
      <c r="U143" s="80"/>
      <c r="V143" s="80"/>
      <c r="W143" s="80"/>
      <c r="X143" s="80"/>
      <c r="Y143" s="80"/>
      <c r="Z143" s="80"/>
    </row>
    <row r="144" spans="1:26" x14ac:dyDescent="0.25">
      <c r="A144" s="80" t="s">
        <v>633</v>
      </c>
      <c r="B144" s="93" t="str">
        <f>IF('AML Policy'!G12&lt;&gt;"",'AML Policy'!G12,"---")</f>
        <v>AMLIncludesCDDEDD</v>
      </c>
      <c r="C144" s="93" t="str">
        <f>IF('AML Policy'!C12&lt;&gt;"",'AML Policy'!C12,".N/A.")</f>
        <v>.N/A.</v>
      </c>
      <c r="D144" s="80"/>
      <c r="E144" s="80"/>
      <c r="F144" s="80"/>
      <c r="G144" s="80"/>
      <c r="H144" s="80"/>
      <c r="I144" s="80"/>
      <c r="J144" s="80"/>
      <c r="K144" s="80"/>
      <c r="L144" s="80"/>
      <c r="M144" s="80"/>
      <c r="N144" s="80"/>
      <c r="O144" s="80"/>
      <c r="P144" s="80"/>
      <c r="Q144" s="80"/>
      <c r="R144" s="80"/>
      <c r="S144" s="80"/>
      <c r="T144" s="80"/>
      <c r="U144" s="80"/>
      <c r="V144" s="80"/>
      <c r="W144" s="80"/>
      <c r="X144" s="80"/>
      <c r="Y144" s="80"/>
      <c r="Z144" s="80"/>
    </row>
    <row r="145" spans="1:26" x14ac:dyDescent="0.25">
      <c r="A145" s="80" t="s">
        <v>633</v>
      </c>
      <c r="B145" s="93" t="str">
        <f>IF('AML Policy'!G13&lt;&gt;"",'AML Policy'!G13,"---")</f>
        <v>AMLIncludesCDDSpec</v>
      </c>
      <c r="C145" s="93" t="str">
        <f>IF('AML Policy'!C13&lt;&gt;"",'AML Policy'!C13,".N/A.")</f>
        <v>.N/A.</v>
      </c>
      <c r="D145" s="80"/>
      <c r="E145" s="80"/>
      <c r="F145" s="80"/>
      <c r="G145" s="80"/>
      <c r="H145" s="80"/>
      <c r="I145" s="80"/>
      <c r="J145" s="80"/>
      <c r="K145" s="80"/>
      <c r="L145" s="80"/>
      <c r="M145" s="80"/>
      <c r="N145" s="80"/>
      <c r="O145" s="80"/>
      <c r="P145" s="80"/>
      <c r="Q145" s="80"/>
      <c r="R145" s="80"/>
      <c r="S145" s="80"/>
      <c r="T145" s="80"/>
      <c r="U145" s="80"/>
      <c r="V145" s="80"/>
      <c r="W145" s="80"/>
      <c r="X145" s="80"/>
      <c r="Y145" s="80"/>
      <c r="Z145" s="80"/>
    </row>
    <row r="146" spans="1:26" x14ac:dyDescent="0.25">
      <c r="A146" s="80" t="s">
        <v>633</v>
      </c>
      <c r="B146" s="93" t="str">
        <f>IF('AML Policy'!G14&lt;&gt;"",'AML Policy'!G14,"---")</f>
        <v>AMLIncludesEDDSpec</v>
      </c>
      <c r="C146" s="93" t="str">
        <f>IF('AML Policy'!C14&lt;&gt;"",'AML Policy'!C14,".N/A.")</f>
        <v>.N/A.</v>
      </c>
      <c r="D146" s="80"/>
      <c r="E146" s="80"/>
      <c r="F146" s="80"/>
      <c r="G146" s="80"/>
      <c r="H146" s="80"/>
      <c r="I146" s="80"/>
      <c r="J146" s="80"/>
      <c r="K146" s="80"/>
      <c r="L146" s="80"/>
      <c r="M146" s="80"/>
      <c r="N146" s="80"/>
      <c r="O146" s="80"/>
      <c r="P146" s="80"/>
      <c r="Q146" s="80"/>
      <c r="R146" s="80"/>
      <c r="S146" s="80"/>
      <c r="T146" s="80"/>
      <c r="U146" s="80"/>
      <c r="V146" s="80"/>
      <c r="W146" s="80"/>
      <c r="X146" s="80"/>
      <c r="Y146" s="80"/>
      <c r="Z146" s="80"/>
    </row>
    <row r="147" spans="1:26" x14ac:dyDescent="0.25">
      <c r="A147" s="80" t="s">
        <v>633</v>
      </c>
      <c r="B147" s="93" t="str">
        <f>IF('AML Policy'!G15&lt;&gt;"",'AML Policy'!G15,"---")</f>
        <v>AMLIncludesUBOIdentification</v>
      </c>
      <c r="C147" s="93" t="str">
        <f>IF('AML Policy'!C15&lt;&gt;"",'AML Policy'!C15,".N/A.")</f>
        <v>.N/A.</v>
      </c>
      <c r="D147" s="80"/>
      <c r="E147" s="80"/>
      <c r="F147" s="80"/>
      <c r="G147" s="80"/>
      <c r="H147" s="80"/>
      <c r="I147" s="80"/>
      <c r="J147" s="80"/>
      <c r="K147" s="80"/>
      <c r="L147" s="80"/>
      <c r="M147" s="80"/>
      <c r="N147" s="80"/>
      <c r="O147" s="80"/>
      <c r="P147" s="80"/>
      <c r="Q147" s="80"/>
      <c r="R147" s="80"/>
      <c r="S147" s="80"/>
      <c r="T147" s="80"/>
      <c r="U147" s="80"/>
      <c r="V147" s="80"/>
      <c r="W147" s="80"/>
      <c r="X147" s="80"/>
      <c r="Y147" s="80"/>
      <c r="Z147" s="80"/>
    </row>
    <row r="148" spans="1:26" x14ac:dyDescent="0.25">
      <c r="A148" s="80" t="s">
        <v>633</v>
      </c>
      <c r="B148" s="93" t="str">
        <f>IF('AML Policy'!G16&lt;&gt;"",'AML Policy'!G16,"---")</f>
        <v>AMLIncludesUBOVerification</v>
      </c>
      <c r="C148" s="93" t="str">
        <f>IF('AML Policy'!C16&lt;&gt;"",'AML Policy'!C16,".N/A.")</f>
        <v>.N/A.</v>
      </c>
      <c r="D148" s="80"/>
      <c r="E148" s="80"/>
      <c r="F148" s="80"/>
      <c r="G148" s="80"/>
      <c r="H148" s="80"/>
      <c r="I148" s="80"/>
      <c r="J148" s="80"/>
      <c r="K148" s="80"/>
      <c r="L148" s="80"/>
      <c r="M148" s="80"/>
      <c r="N148" s="80"/>
      <c r="O148" s="80"/>
      <c r="P148" s="80"/>
      <c r="Q148" s="80"/>
      <c r="R148" s="80"/>
      <c r="S148" s="80"/>
      <c r="T148" s="80"/>
      <c r="U148" s="80"/>
      <c r="V148" s="80"/>
      <c r="W148" s="80"/>
      <c r="X148" s="80"/>
      <c r="Y148" s="80"/>
      <c r="Z148" s="80"/>
    </row>
    <row r="149" spans="1:26" x14ac:dyDescent="0.25">
      <c r="A149" s="80" t="s">
        <v>633</v>
      </c>
      <c r="B149" s="93" t="str">
        <f>IF('AML Policy'!G17&lt;&gt;"",'AML Policy'!G17,"---")</f>
        <v>AMLIncludesProxRepVerification</v>
      </c>
      <c r="C149" s="93" t="str">
        <f>IF('AML Policy'!C17&lt;&gt;"",'AML Policy'!C17,".N/A.")</f>
        <v>.N/A.</v>
      </c>
      <c r="D149" s="80"/>
      <c r="E149" s="80"/>
      <c r="F149" s="80"/>
      <c r="G149" s="80"/>
      <c r="H149" s="80"/>
      <c r="I149" s="80"/>
      <c r="J149" s="80"/>
      <c r="K149" s="80"/>
      <c r="L149" s="80"/>
      <c r="M149" s="80"/>
      <c r="N149" s="80"/>
      <c r="O149" s="80"/>
      <c r="P149" s="80"/>
      <c r="Q149" s="80"/>
      <c r="R149" s="80"/>
      <c r="S149" s="80"/>
      <c r="T149" s="80"/>
      <c r="U149" s="80"/>
      <c r="V149" s="80"/>
      <c r="W149" s="80"/>
      <c r="X149" s="80"/>
      <c r="Y149" s="80"/>
      <c r="Z149" s="80"/>
    </row>
    <row r="150" spans="1:26" x14ac:dyDescent="0.25">
      <c r="A150" s="80" t="s">
        <v>633</v>
      </c>
      <c r="B150" s="93" t="str">
        <f>IF('AML Policy'!G18&lt;&gt;"",'AML Policy'!G18,"---")</f>
        <v>AMLCommentProxRepVerification</v>
      </c>
      <c r="C150" s="93" t="str">
        <f>IF('AML Policy'!B18&lt;&gt;"",'AML Policy'!B18,".N/A.")</f>
        <v>.N/A.</v>
      </c>
      <c r="D150" s="80"/>
      <c r="E150" s="80"/>
      <c r="F150" s="80"/>
      <c r="G150" s="80"/>
      <c r="H150" s="80"/>
      <c r="I150" s="80"/>
      <c r="J150" s="80"/>
      <c r="K150" s="80"/>
      <c r="L150" s="80"/>
      <c r="M150" s="80"/>
      <c r="N150" s="80"/>
      <c r="O150" s="80"/>
      <c r="P150" s="80"/>
      <c r="Q150" s="80"/>
      <c r="R150" s="80"/>
      <c r="S150" s="80"/>
      <c r="T150" s="80"/>
      <c r="U150" s="80"/>
      <c r="V150" s="80"/>
      <c r="W150" s="80"/>
      <c r="X150" s="80"/>
      <c r="Y150" s="80"/>
      <c r="Z150" s="80"/>
    </row>
    <row r="151" spans="1:26" x14ac:dyDescent="0.25">
      <c r="A151" s="80" t="s">
        <v>633</v>
      </c>
      <c r="B151" s="93" t="str">
        <f>IF('AML Policy'!G19&lt;&gt;"",'AML Policy'!G19,"---")</f>
        <v>AMLIncludesCustAccPolicy</v>
      </c>
      <c r="C151" s="93" t="str">
        <f>IF('AML Policy'!C19&lt;&gt;"",'AML Policy'!C19,".N/A.")</f>
        <v>.N/A.</v>
      </c>
      <c r="D151" s="80"/>
      <c r="E151" s="80"/>
      <c r="F151" s="80"/>
      <c r="G151" s="80"/>
      <c r="H151" s="80"/>
      <c r="I151" s="80"/>
      <c r="J151" s="80"/>
      <c r="K151" s="80"/>
      <c r="L151" s="80"/>
      <c r="M151" s="80"/>
      <c r="N151" s="80"/>
      <c r="O151" s="80"/>
      <c r="P151" s="80"/>
      <c r="Q151" s="80"/>
      <c r="R151" s="80"/>
      <c r="S151" s="80"/>
      <c r="T151" s="80"/>
      <c r="U151" s="80"/>
      <c r="V151" s="80"/>
      <c r="W151" s="80"/>
      <c r="X151" s="80"/>
      <c r="Y151" s="80"/>
      <c r="Z151" s="80"/>
    </row>
    <row r="152" spans="1:26" x14ac:dyDescent="0.25">
      <c r="A152" s="80" t="s">
        <v>633</v>
      </c>
      <c r="B152" s="93" t="str">
        <f>IF('AML Policy'!G20&lt;&gt;"",'AML Policy'!G20,"---")</f>
        <v>AMLCommentCustAccPolicy</v>
      </c>
      <c r="C152" s="93" t="str">
        <f>IF('AML Policy'!B20&lt;&gt;"",'AML Policy'!B20,".N/A.")</f>
        <v>.N/A.</v>
      </c>
      <c r="D152" s="80"/>
      <c r="E152" s="80"/>
      <c r="F152" s="80"/>
      <c r="G152" s="80"/>
      <c r="H152" s="80"/>
      <c r="I152" s="80"/>
      <c r="J152" s="80"/>
      <c r="K152" s="80"/>
      <c r="L152" s="80"/>
      <c r="M152" s="80"/>
      <c r="N152" s="80"/>
      <c r="O152" s="80"/>
      <c r="P152" s="80"/>
      <c r="Q152" s="80"/>
      <c r="R152" s="80"/>
      <c r="S152" s="80"/>
      <c r="T152" s="80"/>
      <c r="U152" s="80"/>
      <c r="V152" s="80"/>
      <c r="W152" s="80"/>
      <c r="X152" s="80"/>
      <c r="Y152" s="80"/>
      <c r="Z152" s="80"/>
    </row>
    <row r="153" spans="1:26" x14ac:dyDescent="0.25">
      <c r="A153" s="80" t="s">
        <v>633</v>
      </c>
      <c r="B153" s="93" t="str">
        <f>IF('AML Policy'!G21&lt;&gt;"",'AML Policy'!G21,"---")</f>
        <v>AMLIncludesPeriodicReview</v>
      </c>
      <c r="C153" s="93" t="str">
        <f>IF('AML Policy'!C21&lt;&gt;"",'AML Policy'!C21,".N/A.")</f>
        <v>.N/A.</v>
      </c>
      <c r="D153" s="80"/>
      <c r="E153" s="80"/>
      <c r="F153" s="80"/>
      <c r="G153" s="80"/>
      <c r="H153" s="80"/>
      <c r="I153" s="80"/>
      <c r="J153" s="80"/>
      <c r="K153" s="80"/>
      <c r="L153" s="80"/>
      <c r="M153" s="80"/>
      <c r="N153" s="80"/>
      <c r="O153" s="80"/>
      <c r="P153" s="80"/>
      <c r="Q153" s="80"/>
      <c r="R153" s="80"/>
      <c r="S153" s="80"/>
      <c r="T153" s="80"/>
      <c r="U153" s="80"/>
      <c r="V153" s="80"/>
      <c r="W153" s="80"/>
      <c r="X153" s="80"/>
      <c r="Y153" s="80"/>
      <c r="Z153" s="80"/>
    </row>
    <row r="154" spans="1:26" x14ac:dyDescent="0.25">
      <c r="A154" s="80" t="s">
        <v>633</v>
      </c>
      <c r="B154" s="93" t="str">
        <f>IF('AML Policy'!G22&lt;&gt;"",'AML Policy'!G22,"---")</f>
        <v>AMLCommentPeriodicReview</v>
      </c>
      <c r="C154" s="93" t="str">
        <f>IF('AML Policy'!B22&lt;&gt;"",'AML Policy'!B22,".N/A.")</f>
        <v>.N/A.</v>
      </c>
      <c r="D154" s="80"/>
      <c r="E154" s="80"/>
      <c r="F154" s="80"/>
      <c r="G154" s="80"/>
      <c r="H154" s="80"/>
      <c r="I154" s="80"/>
      <c r="J154" s="80"/>
      <c r="K154" s="80"/>
      <c r="L154" s="80"/>
      <c r="M154" s="80"/>
      <c r="N154" s="80"/>
      <c r="O154" s="80"/>
      <c r="P154" s="80"/>
      <c r="Q154" s="80"/>
      <c r="R154" s="80"/>
      <c r="S154" s="80"/>
      <c r="T154" s="80"/>
      <c r="U154" s="80"/>
      <c r="V154" s="80"/>
      <c r="W154" s="80"/>
      <c r="X154" s="80"/>
      <c r="Y154" s="80"/>
      <c r="Z154" s="80"/>
    </row>
    <row r="155" spans="1:26" x14ac:dyDescent="0.25">
      <c r="A155" s="80" t="s">
        <v>633</v>
      </c>
      <c r="B155" s="93" t="str">
        <f>IF('AML Policy'!G23&lt;&gt;"",'AML Policy'!G23,"---")</f>
        <v>AMLIncludesRiskAssesment</v>
      </c>
      <c r="C155" s="93" t="str">
        <f>IF('AML Policy'!C23&lt;&gt;"",'AML Policy'!C23,".N/A.")</f>
        <v>.N/A.</v>
      </c>
      <c r="D155" s="80"/>
      <c r="E155" s="80"/>
      <c r="F155" s="80"/>
      <c r="G155" s="80"/>
      <c r="H155" s="80"/>
      <c r="I155" s="80"/>
      <c r="J155" s="80"/>
      <c r="K155" s="80"/>
      <c r="L155" s="80"/>
      <c r="M155" s="80"/>
      <c r="N155" s="80"/>
      <c r="O155" s="80"/>
      <c r="P155" s="80"/>
      <c r="Q155" s="80"/>
      <c r="R155" s="80"/>
      <c r="S155" s="80"/>
      <c r="T155" s="80"/>
      <c r="U155" s="80"/>
      <c r="V155" s="80"/>
      <c r="W155" s="80"/>
      <c r="X155" s="80"/>
      <c r="Y155" s="80"/>
      <c r="Z155" s="80"/>
    </row>
    <row r="156" spans="1:26" x14ac:dyDescent="0.25">
      <c r="A156" s="80" t="s">
        <v>633</v>
      </c>
      <c r="B156" s="93" t="str">
        <f>IF('AML Policy'!G24&lt;&gt;"",'AML Policy'!G24,"---")</f>
        <v>AMLRiskAssesmentLevels</v>
      </c>
      <c r="C156" s="93" t="str">
        <f>IF('AML Policy'!C24&lt;&gt;"",'AML Policy'!C24,".N/A.")</f>
        <v>.N/A.</v>
      </c>
      <c r="D156" s="80"/>
      <c r="E156" s="80"/>
      <c r="F156" s="80"/>
      <c r="G156" s="80"/>
      <c r="H156" s="80"/>
      <c r="I156" s="80"/>
      <c r="J156" s="80"/>
      <c r="K156" s="80"/>
      <c r="L156" s="80"/>
      <c r="M156" s="80"/>
      <c r="N156" s="80"/>
      <c r="O156" s="80"/>
      <c r="P156" s="80"/>
      <c r="Q156" s="80"/>
      <c r="R156" s="80"/>
      <c r="S156" s="80"/>
      <c r="T156" s="80"/>
      <c r="U156" s="80"/>
      <c r="V156" s="80"/>
      <c r="W156" s="80"/>
      <c r="X156" s="80"/>
      <c r="Y156" s="80"/>
      <c r="Z156" s="80"/>
    </row>
    <row r="157" spans="1:26" x14ac:dyDescent="0.25">
      <c r="A157" s="80" t="s">
        <v>633</v>
      </c>
      <c r="B157" s="93" t="str">
        <f>IF('AML Policy'!G25&lt;&gt;"",'AML Policy'!G25,"---")</f>
        <v>AMLCommentRiskAssLevels</v>
      </c>
      <c r="C157" s="93" t="str">
        <f>IF('AML Policy'!B25&lt;&gt;"",'AML Policy'!B25,".N/A.")</f>
        <v>.N/A.</v>
      </c>
      <c r="D157" s="80"/>
      <c r="E157" s="80"/>
      <c r="F157" s="80"/>
      <c r="G157" s="80"/>
      <c r="H157" s="80"/>
      <c r="I157" s="80"/>
      <c r="J157" s="80"/>
      <c r="K157" s="80"/>
      <c r="L157" s="80"/>
      <c r="M157" s="80"/>
      <c r="N157" s="80"/>
      <c r="O157" s="80"/>
      <c r="P157" s="80"/>
      <c r="Q157" s="80"/>
      <c r="R157" s="80"/>
      <c r="S157" s="80"/>
      <c r="T157" s="80"/>
      <c r="U157" s="80"/>
      <c r="V157" s="80"/>
      <c r="W157" s="80"/>
      <c r="X157" s="80"/>
      <c r="Y157" s="80"/>
      <c r="Z157" s="80"/>
    </row>
    <row r="158" spans="1:26" x14ac:dyDescent="0.25">
      <c r="A158" s="80" t="s">
        <v>633</v>
      </c>
      <c r="B158" s="93" t="str">
        <f>IF('AML Policy'!G26&lt;&gt;"",'AML Policy'!G26,"---")</f>
        <v>AMLIncludesUnderlyingProc</v>
      </c>
      <c r="C158" s="93" t="str">
        <f>IF('AML Policy'!C26&lt;&gt;"",'AML Policy'!C26,".N/A.")</f>
        <v>.N/A.</v>
      </c>
      <c r="D158" s="80"/>
      <c r="E158" s="80"/>
      <c r="F158" s="80"/>
      <c r="G158" s="80"/>
      <c r="H158" s="80"/>
      <c r="I158" s="80"/>
      <c r="J158" s="80"/>
      <c r="K158" s="80"/>
      <c r="L158" s="80"/>
      <c r="M158" s="80"/>
      <c r="N158" s="80"/>
      <c r="O158" s="80"/>
      <c r="P158" s="80"/>
      <c r="Q158" s="80"/>
      <c r="R158" s="80"/>
      <c r="S158" s="80"/>
      <c r="T158" s="80"/>
      <c r="U158" s="80"/>
      <c r="V158" s="80"/>
      <c r="W158" s="80"/>
      <c r="X158" s="80"/>
      <c r="Y158" s="80"/>
      <c r="Z158" s="80"/>
    </row>
    <row r="159" spans="1:26" x14ac:dyDescent="0.25">
      <c r="A159" s="80" t="s">
        <v>633</v>
      </c>
      <c r="B159" s="93" t="str">
        <f>IF('AML Policy'!G27&lt;&gt;"",'AML Policy'!G27,"---")</f>
        <v>AMLCommentUnderlyingProc</v>
      </c>
      <c r="C159" s="93" t="str">
        <f>IF('AML Policy'!B27&lt;&gt;"",'AML Policy'!B27,".N/A.")</f>
        <v>.N/A.</v>
      </c>
      <c r="D159" s="80"/>
      <c r="E159" s="80"/>
      <c r="F159" s="80"/>
      <c r="G159" s="80"/>
      <c r="H159" s="80"/>
      <c r="I159" s="80"/>
      <c r="J159" s="80"/>
      <c r="K159" s="80"/>
      <c r="L159" s="80"/>
      <c r="M159" s="80"/>
      <c r="N159" s="80"/>
      <c r="O159" s="80"/>
      <c r="P159" s="80"/>
      <c r="Q159" s="80"/>
      <c r="R159" s="80"/>
      <c r="S159" s="80"/>
      <c r="T159" s="80"/>
      <c r="U159" s="80"/>
      <c r="V159" s="80"/>
      <c r="W159" s="80"/>
      <c r="X159" s="80"/>
      <c r="Y159" s="80"/>
      <c r="Z159" s="80"/>
    </row>
    <row r="160" spans="1:26" x14ac:dyDescent="0.25">
      <c r="A160" s="80" t="s">
        <v>633</v>
      </c>
      <c r="B160" s="93" t="str">
        <f>IF('AML Policy'!G28&lt;&gt;"",'AML Policy'!G28,"---")</f>
        <v>AMLIncludesSanctionsScreening</v>
      </c>
      <c r="C160" s="93" t="str">
        <f>IF('AML Policy'!C28&lt;&gt;"",'AML Policy'!C28,".N/A.")</f>
        <v>.N/A.</v>
      </c>
      <c r="D160" s="80"/>
      <c r="E160" s="80"/>
      <c r="F160" s="80"/>
      <c r="G160" s="80"/>
      <c r="H160" s="80"/>
      <c r="I160" s="80"/>
      <c r="J160" s="80"/>
      <c r="K160" s="80"/>
      <c r="L160" s="80"/>
      <c r="M160" s="80"/>
      <c r="N160" s="80"/>
      <c r="O160" s="80"/>
      <c r="P160" s="80"/>
      <c r="Q160" s="80"/>
      <c r="R160" s="80"/>
      <c r="S160" s="80"/>
      <c r="T160" s="80"/>
      <c r="U160" s="80"/>
      <c r="V160" s="80"/>
      <c r="W160" s="80"/>
      <c r="X160" s="80"/>
      <c r="Y160" s="80"/>
      <c r="Z160" s="80"/>
    </row>
    <row r="161" spans="1:26" x14ac:dyDescent="0.25">
      <c r="A161" s="80" t="s">
        <v>633</v>
      </c>
      <c r="B161" s="93" t="str">
        <f>IF('AML Policy'!G29&lt;&gt;"",'AML Policy'!G29,"---")</f>
        <v>AMLIncludesSanctionsBlackL</v>
      </c>
      <c r="C161" s="93" t="str">
        <f>IF('AML Policy'!C29&lt;&gt;"",'AML Policy'!C29,".N/A.")</f>
        <v>.N/A.</v>
      </c>
      <c r="D161" s="80"/>
      <c r="E161" s="80"/>
      <c r="F161" s="80"/>
      <c r="G161" s="80"/>
      <c r="H161" s="80"/>
      <c r="I161" s="80"/>
      <c r="J161" s="80"/>
      <c r="K161" s="80"/>
      <c r="L161" s="80"/>
      <c r="M161" s="80"/>
      <c r="N161" s="80"/>
      <c r="O161" s="80"/>
      <c r="P161" s="80"/>
      <c r="Q161" s="80"/>
      <c r="R161" s="80"/>
      <c r="S161" s="80"/>
      <c r="T161" s="80"/>
      <c r="U161" s="80"/>
      <c r="V161" s="80"/>
      <c r="W161" s="80"/>
      <c r="X161" s="80"/>
      <c r="Y161" s="80"/>
      <c r="Z161" s="80"/>
    </row>
    <row r="162" spans="1:26" x14ac:dyDescent="0.25">
      <c r="A162" s="80" t="s">
        <v>633</v>
      </c>
      <c r="B162" s="93" t="str">
        <f>IF('AML Policy'!G30&lt;&gt;"",'AML Policy'!G30,"---")</f>
        <v>AMLIncludesOngoingScreening</v>
      </c>
      <c r="C162" s="93" t="str">
        <f>IF('AML Policy'!C30&lt;&gt;"",'AML Policy'!C30,".N/A.")</f>
        <v>.N/A.</v>
      </c>
      <c r="D162" s="80"/>
      <c r="E162" s="80"/>
      <c r="F162" s="80"/>
      <c r="G162" s="80"/>
      <c r="H162" s="80"/>
      <c r="I162" s="80"/>
      <c r="J162" s="80"/>
      <c r="K162" s="80"/>
      <c r="L162" s="80"/>
      <c r="M162" s="80"/>
      <c r="N162" s="80"/>
      <c r="O162" s="80"/>
      <c r="P162" s="80"/>
      <c r="Q162" s="80"/>
      <c r="R162" s="80"/>
      <c r="S162" s="80"/>
      <c r="T162" s="80"/>
      <c r="U162" s="80"/>
      <c r="V162" s="80"/>
      <c r="W162" s="80"/>
      <c r="X162" s="80"/>
      <c r="Y162" s="80"/>
      <c r="Z162" s="80"/>
    </row>
    <row r="163" spans="1:26" x14ac:dyDescent="0.25">
      <c r="A163" s="80" t="s">
        <v>633</v>
      </c>
      <c r="B163" s="93" t="str">
        <f>IF('AML Policy'!G31&lt;&gt;"",'AML Policy'!G31,"---")</f>
        <v>AMLIncludesPEPScreening</v>
      </c>
      <c r="C163" s="93" t="str">
        <f>IF('AML Policy'!C31&lt;&gt;"",'AML Policy'!C31,".N/A.")</f>
        <v>.N/A.</v>
      </c>
      <c r="D163" s="80"/>
      <c r="E163" s="80"/>
      <c r="F163" s="80"/>
      <c r="G163" s="80"/>
      <c r="H163" s="80"/>
      <c r="I163" s="80"/>
      <c r="J163" s="80"/>
      <c r="K163" s="80"/>
      <c r="L163" s="80"/>
      <c r="M163" s="80"/>
      <c r="N163" s="80"/>
      <c r="O163" s="80"/>
      <c r="P163" s="80"/>
      <c r="Q163" s="80"/>
      <c r="R163" s="80"/>
      <c r="S163" s="80"/>
      <c r="T163" s="80"/>
      <c r="U163" s="80"/>
      <c r="V163" s="80"/>
      <c r="W163" s="80"/>
      <c r="X163" s="80"/>
      <c r="Y163" s="80"/>
      <c r="Z163" s="80"/>
    </row>
    <row r="164" spans="1:26" x14ac:dyDescent="0.25">
      <c r="A164" s="80" t="s">
        <v>633</v>
      </c>
      <c r="B164" s="93" t="str">
        <f>IF('AML Policy'!G32&lt;&gt;"",'AML Policy'!G32,"---")</f>
        <v>AMLIncludesPEPDDLevel</v>
      </c>
      <c r="C164" s="93" t="str">
        <f>IF('AML Policy'!C32&lt;&gt;"",'AML Policy'!C32,".N/A.")</f>
        <v>.N/A.</v>
      </c>
      <c r="D164" s="80"/>
      <c r="E164" s="80"/>
      <c r="F164" s="80"/>
      <c r="G164" s="80"/>
      <c r="H164" s="80"/>
      <c r="I164" s="80"/>
      <c r="J164" s="80"/>
      <c r="K164" s="80"/>
      <c r="L164" s="80"/>
      <c r="M164" s="80"/>
      <c r="N164" s="80"/>
      <c r="O164" s="80"/>
      <c r="P164" s="80"/>
      <c r="Q164" s="80"/>
      <c r="R164" s="80"/>
      <c r="S164" s="80"/>
      <c r="T164" s="80"/>
      <c r="U164" s="80"/>
      <c r="V164" s="80"/>
      <c r="W164" s="80"/>
      <c r="X164" s="80"/>
      <c r="Y164" s="80"/>
      <c r="Z164" s="80"/>
    </row>
    <row r="165" spans="1:26" x14ac:dyDescent="0.25">
      <c r="A165" s="80" t="s">
        <v>633</v>
      </c>
      <c r="B165" s="93" t="str">
        <f>IF('AML Policy'!G33&lt;&gt;"",'AML Policy'!G33,"---")</f>
        <v>AMLCommentPEPDDLevel</v>
      </c>
      <c r="C165" s="93" t="str">
        <f>IF('AML Policy'!B33&lt;&gt;"",'AML Policy'!B33,".N/A.")</f>
        <v>.N/A.</v>
      </c>
      <c r="D165" s="80"/>
      <c r="E165" s="80"/>
      <c r="F165" s="80"/>
      <c r="G165" s="80"/>
      <c r="H165" s="80"/>
      <c r="I165" s="80"/>
      <c r="J165" s="80"/>
      <c r="K165" s="80"/>
      <c r="L165" s="80"/>
      <c r="M165" s="80"/>
      <c r="N165" s="80"/>
      <c r="O165" s="80"/>
      <c r="P165" s="80"/>
      <c r="Q165" s="80"/>
      <c r="R165" s="80"/>
      <c r="S165" s="80"/>
      <c r="T165" s="80"/>
      <c r="U165" s="80"/>
      <c r="V165" s="80"/>
      <c r="W165" s="80"/>
      <c r="X165" s="80"/>
      <c r="Y165" s="80"/>
      <c r="Z165" s="80"/>
    </row>
    <row r="166" spans="1:26" x14ac:dyDescent="0.25">
      <c r="A166" s="80" t="s">
        <v>633</v>
      </c>
      <c r="B166" s="93" t="str">
        <f>IF('AML Policy'!G34&lt;&gt;"",'AML Policy'!G34,"---")</f>
        <v>AMLIncludesSuspActReport</v>
      </c>
      <c r="C166" s="93" t="str">
        <f>IF('AML Policy'!C34&lt;&gt;"",'AML Policy'!C34,".N/A.")</f>
        <v>.N/A.</v>
      </c>
      <c r="D166" s="80"/>
      <c r="E166" s="80"/>
      <c r="F166" s="80"/>
      <c r="G166" s="80"/>
      <c r="H166" s="80"/>
      <c r="I166" s="80"/>
      <c r="J166" s="80"/>
      <c r="K166" s="80"/>
      <c r="L166" s="80"/>
      <c r="M166" s="80"/>
      <c r="N166" s="80"/>
      <c r="O166" s="80"/>
      <c r="P166" s="80"/>
      <c r="Q166" s="80"/>
      <c r="R166" s="80"/>
      <c r="S166" s="80"/>
      <c r="T166" s="80"/>
      <c r="U166" s="80"/>
      <c r="V166" s="80"/>
      <c r="W166" s="80"/>
      <c r="X166" s="80"/>
      <c r="Y166" s="80"/>
      <c r="Z166" s="80"/>
    </row>
    <row r="167" spans="1:26" x14ac:dyDescent="0.25">
      <c r="A167" s="80" t="s">
        <v>633</v>
      </c>
      <c r="B167" s="93" t="str">
        <f>IF('AML Policy'!G35&lt;&gt;"",'AML Policy'!G35,"---")</f>
        <v>AMLCommentSuspActReport</v>
      </c>
      <c r="C167" s="93" t="str">
        <f>IF('AML Policy'!B35&lt;&gt;"",'AML Policy'!B35,".N/A.")</f>
        <v>.N/A.</v>
      </c>
      <c r="D167" s="80"/>
      <c r="E167" s="80"/>
      <c r="F167" s="80"/>
      <c r="G167" s="80"/>
      <c r="H167" s="80"/>
      <c r="I167" s="80"/>
      <c r="J167" s="80"/>
      <c r="K167" s="80"/>
      <c r="L167" s="80"/>
      <c r="M167" s="80"/>
      <c r="N167" s="80"/>
      <c r="O167" s="80"/>
      <c r="P167" s="80"/>
      <c r="Q167" s="80"/>
      <c r="R167" s="80"/>
      <c r="S167" s="80"/>
      <c r="T167" s="80"/>
      <c r="U167" s="80"/>
      <c r="V167" s="80"/>
      <c r="W167" s="80"/>
      <c r="X167" s="80"/>
      <c r="Y167" s="80"/>
      <c r="Z167" s="80"/>
    </row>
    <row r="168" spans="1:26" x14ac:dyDescent="0.25">
      <c r="A168" s="80" t="s">
        <v>633</v>
      </c>
      <c r="B168" s="93" t="str">
        <f>IF('AML Policy'!G36&lt;&gt;"",'AML Policy'!G36,"---")</f>
        <v>AMLIncludesAMLCFTTraining</v>
      </c>
      <c r="C168" s="93" t="str">
        <f>IF('AML Policy'!C36&lt;&gt;"",'AML Policy'!C36,".N/A.")</f>
        <v>.N/A.</v>
      </c>
      <c r="D168" s="80"/>
      <c r="E168" s="80"/>
      <c r="F168" s="80"/>
      <c r="G168" s="80"/>
      <c r="H168" s="80"/>
      <c r="I168" s="80"/>
      <c r="J168" s="80"/>
      <c r="K168" s="80"/>
      <c r="L168" s="80"/>
      <c r="M168" s="80"/>
      <c r="N168" s="80"/>
      <c r="O168" s="80"/>
      <c r="P168" s="80"/>
      <c r="Q168" s="80"/>
      <c r="R168" s="80"/>
      <c r="S168" s="80"/>
      <c r="T168" s="80"/>
      <c r="U168" s="80"/>
      <c r="V168" s="80"/>
      <c r="W168" s="80"/>
      <c r="X168" s="80"/>
      <c r="Y168" s="80"/>
      <c r="Z168" s="80"/>
    </row>
    <row r="169" spans="1:26" x14ac:dyDescent="0.25">
      <c r="A169" s="80" t="s">
        <v>633</v>
      </c>
      <c r="B169" s="93" t="str">
        <f>IF('AML Policy'!G37&lt;&gt;"",'AML Policy'!G37,"---")</f>
        <v>AMLCommentAMLCFTTraining</v>
      </c>
      <c r="C169" s="93" t="str">
        <f>IF('AML Policy'!B37&lt;&gt;"",'AML Policy'!B37,".N/A.")</f>
        <v>.N/A.</v>
      </c>
      <c r="D169" s="80"/>
      <c r="E169" s="80"/>
      <c r="F169" s="80"/>
      <c r="G169" s="80"/>
      <c r="H169" s="80"/>
      <c r="I169" s="80"/>
      <c r="J169" s="80"/>
      <c r="K169" s="80"/>
      <c r="L169" s="80"/>
      <c r="M169" s="80"/>
      <c r="N169" s="80"/>
      <c r="O169" s="80"/>
      <c r="P169" s="80"/>
      <c r="Q169" s="80"/>
      <c r="R169" s="80"/>
      <c r="S169" s="80"/>
      <c r="T169" s="80"/>
      <c r="U169" s="80"/>
      <c r="V169" s="80"/>
      <c r="W169" s="80"/>
      <c r="X169" s="80"/>
      <c r="Y169" s="80"/>
      <c r="Z169" s="80"/>
    </row>
    <row r="170" spans="1:26" x14ac:dyDescent="0.25">
      <c r="A170" s="80" t="s">
        <v>633</v>
      </c>
      <c r="B170" s="93" t="str">
        <f>IF('AML Policy'!G38&lt;&gt;"",'AML Policy'!G38,"---")</f>
        <v>AMLIncludesTM</v>
      </c>
      <c r="C170" s="93" t="str">
        <f>IF('AML Policy'!C38&lt;&gt;"",'AML Policy'!C38,".N/A.")</f>
        <v>.N/A.</v>
      </c>
      <c r="D170" s="80"/>
      <c r="E170" s="80"/>
      <c r="F170" s="80"/>
      <c r="G170" s="80"/>
      <c r="H170" s="80"/>
      <c r="I170" s="80"/>
      <c r="J170" s="80"/>
      <c r="K170" s="80"/>
      <c r="L170" s="80"/>
      <c r="M170" s="80"/>
      <c r="N170" s="80"/>
      <c r="O170" s="80"/>
      <c r="P170" s="80"/>
      <c r="Q170" s="80"/>
      <c r="R170" s="80"/>
      <c r="S170" s="80"/>
      <c r="T170" s="80"/>
      <c r="U170" s="80"/>
      <c r="V170" s="80"/>
      <c r="W170" s="80"/>
      <c r="X170" s="80"/>
      <c r="Y170" s="80"/>
      <c r="Z170" s="80"/>
    </row>
    <row r="171" spans="1:26" x14ac:dyDescent="0.25">
      <c r="A171" s="80" t="s">
        <v>633</v>
      </c>
      <c r="B171" s="93" t="str">
        <f>IF('AML Policy'!G39&lt;&gt;"",'AML Policy'!G39,"---")</f>
        <v>AMLCommentTM</v>
      </c>
      <c r="C171" s="93" t="str">
        <f>IF('AML Policy'!B39&lt;&gt;"",'AML Policy'!B39,".N/A.")</f>
        <v>.N/A.</v>
      </c>
      <c r="D171" s="80"/>
      <c r="E171" s="80"/>
      <c r="F171" s="80"/>
      <c r="G171" s="80"/>
      <c r="H171" s="80"/>
      <c r="I171" s="80"/>
      <c r="J171" s="80"/>
      <c r="K171" s="80"/>
      <c r="L171" s="80"/>
      <c r="M171" s="80"/>
      <c r="N171" s="80"/>
      <c r="O171" s="80"/>
      <c r="P171" s="80"/>
      <c r="Q171" s="80"/>
      <c r="R171" s="80"/>
      <c r="S171" s="80"/>
      <c r="T171" s="80"/>
      <c r="U171" s="80"/>
      <c r="V171" s="80"/>
      <c r="W171" s="80"/>
      <c r="X171" s="80"/>
      <c r="Y171" s="80"/>
      <c r="Z171" s="80"/>
    </row>
    <row r="172" spans="1:26" x14ac:dyDescent="0.25">
      <c r="A172" s="80" t="s">
        <v>633</v>
      </c>
      <c r="B172" s="93" t="str">
        <f>IF('AML Policy'!G40&lt;&gt;"",'AML Policy'!G40,"---")</f>
        <v>---</v>
      </c>
      <c r="C172" s="93" t="str">
        <f>IF('AML Policy'!C40&lt;&gt;"",'AML Policy'!C40,".N/A.")</f>
        <v>.N/A.</v>
      </c>
      <c r="D172" s="80"/>
      <c r="E172" s="80"/>
      <c r="F172" s="80"/>
      <c r="G172" s="80"/>
      <c r="H172" s="80"/>
      <c r="I172" s="80"/>
      <c r="J172" s="80"/>
      <c r="K172" s="80"/>
      <c r="L172" s="80"/>
      <c r="M172" s="80"/>
      <c r="N172" s="80"/>
      <c r="O172" s="80"/>
      <c r="P172" s="80"/>
      <c r="Q172" s="80"/>
      <c r="R172" s="80"/>
      <c r="S172" s="80"/>
      <c r="T172" s="80"/>
      <c r="U172" s="80"/>
      <c r="V172" s="80"/>
      <c r="W172" s="80"/>
      <c r="X172" s="80"/>
      <c r="Y172" s="80"/>
      <c r="Z172" s="80"/>
    </row>
    <row r="173" spans="1:26" x14ac:dyDescent="0.25">
      <c r="A173" s="80" t="s">
        <v>633</v>
      </c>
      <c r="B173" s="93" t="str">
        <f>IF('AML Policy'!G41&lt;&gt;"",'AML Policy'!G41,"---")</f>
        <v>---</v>
      </c>
      <c r="C173" s="93" t="str">
        <f>IF('AML Policy'!C41&lt;&gt;"",'AML Policy'!C41,".N/A.")</f>
        <v>.N/A.</v>
      </c>
      <c r="D173" s="80"/>
      <c r="E173" s="80"/>
      <c r="F173" s="80"/>
      <c r="G173" s="80"/>
      <c r="H173" s="80"/>
      <c r="I173" s="80"/>
      <c r="J173" s="80"/>
      <c r="K173" s="80"/>
      <c r="L173" s="80"/>
      <c r="M173" s="80"/>
      <c r="N173" s="80"/>
      <c r="O173" s="80"/>
      <c r="P173" s="80"/>
      <c r="Q173" s="80"/>
      <c r="R173" s="80"/>
      <c r="S173" s="80"/>
      <c r="T173" s="80"/>
      <c r="U173" s="80"/>
      <c r="V173" s="80"/>
      <c r="W173" s="80"/>
      <c r="X173" s="80"/>
      <c r="Y173" s="80"/>
      <c r="Z173" s="80"/>
    </row>
    <row r="174" spans="1:26" x14ac:dyDescent="0.25">
      <c r="A174" s="80" t="s">
        <v>633</v>
      </c>
      <c r="B174" s="93" t="str">
        <f>IF('AML Policy'!G42&lt;&gt;"",'AML Policy'!G42,"---")</f>
        <v>AMLExplanation01</v>
      </c>
      <c r="C174" s="93" t="str">
        <f>IF('AML Policy'!B42&lt;&gt;"",'AML Policy'!B42,".N/A.")</f>
        <v>.N/A.</v>
      </c>
      <c r="D174" s="80"/>
      <c r="E174" s="80"/>
      <c r="F174" s="80"/>
      <c r="G174" s="80"/>
      <c r="H174" s="80"/>
      <c r="I174" s="80"/>
      <c r="J174" s="80"/>
      <c r="K174" s="80"/>
      <c r="L174" s="80"/>
      <c r="M174" s="80"/>
      <c r="N174" s="80"/>
      <c r="O174" s="80"/>
      <c r="P174" s="80"/>
      <c r="Q174" s="80"/>
      <c r="R174" s="80"/>
      <c r="S174" s="80"/>
      <c r="T174" s="80"/>
      <c r="U174" s="80"/>
      <c r="V174" s="80"/>
      <c r="W174" s="80"/>
      <c r="X174" s="80"/>
      <c r="Y174" s="80"/>
      <c r="Z174" s="80"/>
    </row>
    <row r="175" spans="1:26" x14ac:dyDescent="0.25">
      <c r="A175" s="80" t="s">
        <v>633</v>
      </c>
      <c r="B175" s="93" t="str">
        <f>IF('AML Policy'!G43&lt;&gt;"",'AML Policy'!G43,"---")</f>
        <v>AMLExplanation02</v>
      </c>
      <c r="C175" s="93" t="str">
        <f>IF('AML Policy'!B43&lt;&gt;"",'AML Policy'!B43,".N/A.")</f>
        <v>.N/A.</v>
      </c>
      <c r="D175" s="80"/>
      <c r="E175" s="80"/>
      <c r="F175" s="80"/>
      <c r="G175" s="80"/>
      <c r="H175" s="80"/>
      <c r="I175" s="80"/>
      <c r="J175" s="80"/>
      <c r="K175" s="80"/>
      <c r="L175" s="80"/>
      <c r="M175" s="80"/>
      <c r="N175" s="80"/>
      <c r="O175" s="80"/>
      <c r="P175" s="80"/>
      <c r="Q175" s="80"/>
      <c r="R175" s="80"/>
      <c r="S175" s="80"/>
      <c r="T175" s="80"/>
      <c r="U175" s="80"/>
      <c r="V175" s="80"/>
      <c r="W175" s="80"/>
      <c r="X175" s="80"/>
      <c r="Y175" s="80"/>
      <c r="Z175" s="80"/>
    </row>
    <row r="176" spans="1:26" x14ac:dyDescent="0.25">
      <c r="A176" s="80" t="s">
        <v>633</v>
      </c>
      <c r="B176" s="93" t="str">
        <f>IF('AML Policy'!G44&lt;&gt;"",'AML Policy'!G44,"---")</f>
        <v>AMLExplanation03</v>
      </c>
      <c r="C176" s="93" t="str">
        <f>IF('AML Policy'!B44&lt;&gt;"",'AML Policy'!B44,".N/A.")</f>
        <v>.N/A.</v>
      </c>
      <c r="D176" s="80"/>
      <c r="E176" s="80"/>
      <c r="F176" s="80"/>
      <c r="G176" s="80"/>
      <c r="H176" s="80"/>
      <c r="I176" s="80"/>
      <c r="J176" s="80"/>
      <c r="K176" s="80"/>
      <c r="L176" s="80"/>
      <c r="M176" s="80"/>
      <c r="N176" s="80"/>
      <c r="O176" s="80"/>
      <c r="P176" s="80"/>
      <c r="Q176" s="80"/>
      <c r="R176" s="80"/>
      <c r="S176" s="80"/>
      <c r="T176" s="80"/>
      <c r="U176" s="80"/>
      <c r="V176" s="80"/>
      <c r="W176" s="80"/>
      <c r="X176" s="80"/>
      <c r="Y176" s="80"/>
      <c r="Z176" s="80"/>
    </row>
    <row r="177" spans="1:26" x14ac:dyDescent="0.25">
      <c r="A177" s="80" t="s">
        <v>633</v>
      </c>
      <c r="B177" s="93" t="str">
        <f>IF('AML Policy'!G45&lt;&gt;"",'AML Policy'!G45,"---")</f>
        <v>AMLExplanation04</v>
      </c>
      <c r="C177" s="93" t="str">
        <f>IF('AML Policy'!B45&lt;&gt;"",'AML Policy'!B45,".N/A.")</f>
        <v>.N/A.</v>
      </c>
      <c r="D177" s="80"/>
      <c r="E177" s="80"/>
      <c r="F177" s="80"/>
      <c r="G177" s="80"/>
      <c r="H177" s="80"/>
      <c r="I177" s="80"/>
      <c r="J177" s="80"/>
      <c r="K177" s="80"/>
      <c r="L177" s="80"/>
      <c r="M177" s="80"/>
      <c r="N177" s="80"/>
      <c r="O177" s="80"/>
      <c r="P177" s="80"/>
      <c r="Q177" s="80"/>
      <c r="R177" s="80"/>
      <c r="S177" s="80"/>
      <c r="T177" s="80"/>
      <c r="U177" s="80"/>
      <c r="V177" s="80"/>
      <c r="W177" s="80"/>
      <c r="X177" s="80"/>
      <c r="Y177" s="80"/>
      <c r="Z177" s="80"/>
    </row>
    <row r="178" spans="1:26" x14ac:dyDescent="0.25">
      <c r="A178" s="80" t="s">
        <v>633</v>
      </c>
      <c r="B178" s="93" t="str">
        <f>IF('AML Policy'!G46&lt;&gt;"",'AML Policy'!G46,"---")</f>
        <v>AMLExplanation05</v>
      </c>
      <c r="C178" s="93" t="str">
        <f>IF('AML Policy'!B46&lt;&gt;"",'AML Policy'!B46,".N/A.")</f>
        <v>.N/A.</v>
      </c>
      <c r="D178" s="80"/>
      <c r="E178" s="80"/>
      <c r="F178" s="80"/>
      <c r="G178" s="80"/>
      <c r="H178" s="80"/>
      <c r="I178" s="80"/>
      <c r="J178" s="80"/>
      <c r="K178" s="80"/>
      <c r="L178" s="80"/>
      <c r="M178" s="80"/>
      <c r="N178" s="80"/>
      <c r="O178" s="80"/>
      <c r="P178" s="80"/>
      <c r="Q178" s="80"/>
      <c r="R178" s="80"/>
      <c r="S178" s="80"/>
      <c r="T178" s="80"/>
      <c r="U178" s="80"/>
      <c r="V178" s="80"/>
      <c r="W178" s="80"/>
      <c r="X178" s="80"/>
      <c r="Y178" s="80"/>
      <c r="Z178" s="80"/>
    </row>
    <row r="179" spans="1:26" x14ac:dyDescent="0.25">
      <c r="A179" s="80"/>
      <c r="B179" s="80"/>
      <c r="C179" s="80"/>
      <c r="D179" s="80"/>
      <c r="E179" s="80"/>
      <c r="F179" s="80"/>
      <c r="G179" s="80"/>
      <c r="H179" s="80"/>
      <c r="I179" s="80"/>
      <c r="J179" s="80"/>
      <c r="K179" s="80"/>
      <c r="L179" s="80"/>
      <c r="M179" s="80"/>
      <c r="N179" s="80"/>
      <c r="O179" s="80"/>
      <c r="P179" s="80"/>
      <c r="Q179" s="80"/>
      <c r="R179" s="80"/>
      <c r="S179" s="80"/>
      <c r="T179" s="80"/>
      <c r="U179" s="80"/>
      <c r="V179" s="80"/>
      <c r="W179" s="80"/>
      <c r="X179" s="80"/>
      <c r="Y179" s="80"/>
      <c r="Z179" s="80"/>
    </row>
    <row r="180" spans="1:26" x14ac:dyDescent="0.25">
      <c r="A180" s="80"/>
      <c r="B180" s="80"/>
      <c r="C180" s="80"/>
      <c r="D180" s="80"/>
      <c r="E180" s="80"/>
      <c r="F180" s="80"/>
      <c r="G180" s="80"/>
      <c r="H180" s="80"/>
      <c r="I180" s="80"/>
      <c r="J180" s="80"/>
      <c r="K180" s="80"/>
      <c r="L180" s="80"/>
      <c r="M180" s="80"/>
      <c r="N180" s="80"/>
      <c r="O180" s="80"/>
      <c r="P180" s="80"/>
      <c r="Q180" s="80"/>
      <c r="R180" s="80"/>
      <c r="S180" s="80"/>
      <c r="T180" s="80"/>
      <c r="U180" s="80"/>
      <c r="V180" s="80"/>
      <c r="W180" s="80"/>
      <c r="X180" s="80"/>
      <c r="Y180" s="80"/>
      <c r="Z180" s="80"/>
    </row>
    <row r="181" spans="1:26" x14ac:dyDescent="0.25">
      <c r="A181" s="80"/>
      <c r="B181" s="80"/>
      <c r="C181" s="80"/>
      <c r="D181" s="80"/>
      <c r="E181" s="80"/>
      <c r="F181" s="80"/>
      <c r="G181" s="80"/>
      <c r="H181" s="80"/>
      <c r="I181" s="80"/>
      <c r="J181" s="80"/>
      <c r="K181" s="80"/>
      <c r="L181" s="80"/>
      <c r="M181" s="80"/>
      <c r="N181" s="80"/>
      <c r="O181" s="80"/>
      <c r="P181" s="80"/>
      <c r="Q181" s="80"/>
      <c r="R181" s="80"/>
      <c r="S181" s="80"/>
      <c r="T181" s="80"/>
      <c r="U181" s="80"/>
      <c r="V181" s="80"/>
      <c r="W181" s="80"/>
      <c r="X181" s="80"/>
      <c r="Y181" s="80"/>
      <c r="Z181" s="80"/>
    </row>
    <row r="182" spans="1:26" x14ac:dyDescent="0.25">
      <c r="A182" s="80"/>
      <c r="B182" s="80"/>
      <c r="C182" s="80"/>
      <c r="D182" s="80"/>
      <c r="E182" s="80"/>
      <c r="F182" s="80"/>
      <c r="G182" s="80"/>
      <c r="H182" s="80"/>
      <c r="I182" s="80"/>
      <c r="J182" s="80"/>
      <c r="K182" s="80"/>
      <c r="L182" s="80"/>
      <c r="M182" s="80"/>
      <c r="N182" s="80"/>
      <c r="O182" s="80"/>
      <c r="P182" s="80"/>
      <c r="Q182" s="80"/>
      <c r="R182" s="80"/>
      <c r="S182" s="80"/>
      <c r="T182" s="80"/>
      <c r="U182" s="80"/>
      <c r="V182" s="80"/>
      <c r="W182" s="80"/>
      <c r="X182" s="80"/>
      <c r="Y182" s="80"/>
      <c r="Z182" s="80"/>
    </row>
    <row r="183" spans="1:26" x14ac:dyDescent="0.25">
      <c r="A183" s="80"/>
      <c r="B183" s="80"/>
      <c r="C183" s="80"/>
      <c r="D183" s="80"/>
      <c r="E183" s="80"/>
      <c r="F183" s="80"/>
      <c r="G183" s="80"/>
      <c r="H183" s="80"/>
      <c r="I183" s="80"/>
      <c r="J183" s="80"/>
      <c r="K183" s="80"/>
      <c r="L183" s="80"/>
      <c r="M183" s="80"/>
      <c r="N183" s="80"/>
      <c r="O183" s="80"/>
      <c r="P183" s="80"/>
      <c r="Q183" s="80"/>
      <c r="R183" s="80"/>
      <c r="S183" s="80"/>
      <c r="T183" s="80"/>
      <c r="U183" s="80"/>
      <c r="V183" s="80"/>
      <c r="W183" s="80"/>
      <c r="X183" s="80"/>
      <c r="Y183" s="80"/>
      <c r="Z183" s="80"/>
    </row>
    <row r="184" spans="1:26" x14ac:dyDescent="0.25">
      <c r="A184" s="80"/>
      <c r="B184" s="80"/>
      <c r="C184" s="80"/>
      <c r="D184" s="80"/>
      <c r="E184" s="80"/>
      <c r="F184" s="80"/>
      <c r="G184" s="80"/>
      <c r="H184" s="80"/>
      <c r="I184" s="80"/>
      <c r="J184" s="80"/>
      <c r="K184" s="80"/>
      <c r="L184" s="80"/>
      <c r="M184" s="80"/>
      <c r="N184" s="80"/>
      <c r="O184" s="80"/>
      <c r="P184" s="80"/>
      <c r="Q184" s="80"/>
      <c r="R184" s="80"/>
      <c r="S184" s="80"/>
      <c r="T184" s="80"/>
      <c r="U184" s="80"/>
      <c r="V184" s="80"/>
      <c r="W184" s="80"/>
      <c r="X184" s="80"/>
      <c r="Y184" s="80"/>
      <c r="Z184" s="80"/>
    </row>
    <row r="185" spans="1:26" x14ac:dyDescent="0.25">
      <c r="A185" s="80"/>
      <c r="B185" s="80"/>
      <c r="C185" s="80"/>
      <c r="D185" s="80"/>
      <c r="E185" s="80"/>
      <c r="F185" s="80"/>
      <c r="G185" s="80"/>
      <c r="H185" s="80"/>
      <c r="I185" s="80"/>
      <c r="J185" s="80"/>
      <c r="K185" s="80"/>
      <c r="L185" s="80"/>
      <c r="M185" s="80"/>
      <c r="N185" s="80"/>
      <c r="O185" s="80"/>
      <c r="P185" s="80"/>
      <c r="Q185" s="80"/>
      <c r="R185" s="80"/>
      <c r="S185" s="80"/>
      <c r="T185" s="80"/>
      <c r="U185" s="80"/>
      <c r="V185" s="80"/>
      <c r="W185" s="80"/>
      <c r="X185" s="80"/>
      <c r="Y185" s="80"/>
      <c r="Z185" s="80"/>
    </row>
    <row r="186" spans="1:26" x14ac:dyDescent="0.25">
      <c r="A186" s="80"/>
      <c r="B186" s="80"/>
      <c r="C186" s="80"/>
      <c r="D186" s="80"/>
      <c r="E186" s="80"/>
      <c r="F186" s="80"/>
      <c r="G186" s="80"/>
      <c r="H186" s="80"/>
      <c r="I186" s="80"/>
      <c r="J186" s="80"/>
      <c r="K186" s="80"/>
      <c r="L186" s="80"/>
      <c r="M186" s="80"/>
      <c r="N186" s="80"/>
      <c r="O186" s="80"/>
      <c r="P186" s="80"/>
      <c r="Q186" s="80"/>
      <c r="R186" s="80"/>
      <c r="S186" s="80"/>
      <c r="T186" s="80"/>
      <c r="U186" s="80"/>
      <c r="V186" s="80"/>
      <c r="W186" s="80"/>
      <c r="X186" s="80"/>
      <c r="Y186" s="80"/>
      <c r="Z186" s="80"/>
    </row>
    <row r="187" spans="1:26" x14ac:dyDescent="0.25">
      <c r="A187" s="80"/>
      <c r="B187" s="80"/>
      <c r="C187" s="80"/>
      <c r="D187" s="80"/>
      <c r="E187" s="80"/>
      <c r="F187" s="80"/>
      <c r="G187" s="80"/>
      <c r="H187" s="80"/>
      <c r="I187" s="80"/>
      <c r="J187" s="80"/>
      <c r="K187" s="80"/>
      <c r="L187" s="80"/>
      <c r="M187" s="80"/>
      <c r="N187" s="80"/>
      <c r="O187" s="80"/>
      <c r="P187" s="80"/>
      <c r="Q187" s="80"/>
      <c r="R187" s="80"/>
      <c r="S187" s="80"/>
      <c r="T187" s="80"/>
      <c r="U187" s="80"/>
      <c r="V187" s="80"/>
      <c r="W187" s="80"/>
      <c r="X187" s="80"/>
      <c r="Y187" s="80"/>
      <c r="Z187" s="80"/>
    </row>
    <row r="188" spans="1:26" x14ac:dyDescent="0.25">
      <c r="A188" s="80"/>
      <c r="B188" s="80"/>
      <c r="C188" s="80"/>
      <c r="D188" s="80"/>
      <c r="E188" s="80"/>
      <c r="F188" s="80"/>
      <c r="G188" s="80"/>
      <c r="H188" s="80"/>
      <c r="I188" s="80"/>
      <c r="J188" s="80"/>
      <c r="K188" s="80"/>
      <c r="L188" s="80"/>
      <c r="M188" s="80"/>
      <c r="N188" s="80"/>
      <c r="O188" s="80"/>
      <c r="P188" s="80"/>
      <c r="Q188" s="80"/>
      <c r="R188" s="80"/>
      <c r="S188" s="80"/>
      <c r="T188" s="80"/>
      <c r="U188" s="80"/>
      <c r="V188" s="80"/>
      <c r="W188" s="80"/>
      <c r="X188" s="80"/>
      <c r="Y188" s="80"/>
      <c r="Z188" s="80"/>
    </row>
    <row r="189" spans="1:26" x14ac:dyDescent="0.25">
      <c r="A189" s="80"/>
      <c r="B189" s="80"/>
      <c r="C189" s="80"/>
      <c r="D189" s="80"/>
      <c r="E189" s="80"/>
      <c r="F189" s="80"/>
      <c r="G189" s="80"/>
      <c r="H189" s="80"/>
      <c r="I189" s="80"/>
      <c r="J189" s="80"/>
      <c r="K189" s="80"/>
      <c r="L189" s="80"/>
      <c r="M189" s="80"/>
      <c r="N189" s="80"/>
      <c r="O189" s="80"/>
      <c r="P189" s="80"/>
      <c r="Q189" s="80"/>
      <c r="R189" s="80"/>
      <c r="S189" s="80"/>
      <c r="T189" s="80"/>
      <c r="U189" s="80"/>
      <c r="V189" s="80"/>
      <c r="W189" s="80"/>
      <c r="X189" s="80"/>
      <c r="Y189" s="80"/>
      <c r="Z189" s="80"/>
    </row>
    <row r="190" spans="1:26" x14ac:dyDescent="0.25">
      <c r="A190" s="80"/>
      <c r="B190" s="80"/>
      <c r="C190" s="80"/>
      <c r="D190" s="80"/>
      <c r="E190" s="80"/>
      <c r="F190" s="80"/>
      <c r="G190" s="80"/>
      <c r="H190" s="80"/>
      <c r="I190" s="80"/>
      <c r="J190" s="80"/>
      <c r="K190" s="80"/>
      <c r="L190" s="80"/>
      <c r="M190" s="80"/>
      <c r="N190" s="80"/>
      <c r="O190" s="80"/>
      <c r="P190" s="80"/>
      <c r="Q190" s="80"/>
      <c r="R190" s="80"/>
      <c r="S190" s="80"/>
      <c r="T190" s="80"/>
      <c r="U190" s="80"/>
      <c r="V190" s="80"/>
      <c r="W190" s="80"/>
      <c r="X190" s="80"/>
      <c r="Y190" s="80"/>
      <c r="Z190" s="80"/>
    </row>
    <row r="191" spans="1:26" x14ac:dyDescent="0.25">
      <c r="A191" s="80"/>
      <c r="B191" s="80"/>
      <c r="C191" s="80"/>
      <c r="D191" s="80"/>
      <c r="E191" s="80"/>
      <c r="F191" s="80"/>
      <c r="G191" s="80"/>
      <c r="H191" s="80"/>
      <c r="I191" s="80"/>
      <c r="J191" s="80"/>
      <c r="K191" s="80"/>
      <c r="L191" s="80"/>
      <c r="M191" s="80"/>
      <c r="N191" s="80"/>
      <c r="O191" s="80"/>
      <c r="P191" s="80"/>
      <c r="Q191" s="80"/>
      <c r="R191" s="80"/>
      <c r="S191" s="80"/>
      <c r="T191" s="80"/>
      <c r="U191" s="80"/>
      <c r="V191" s="80"/>
      <c r="W191" s="80"/>
      <c r="X191" s="80"/>
      <c r="Y191" s="80"/>
      <c r="Z191" s="80"/>
    </row>
    <row r="192" spans="1:26" x14ac:dyDescent="0.25">
      <c r="A192" s="80"/>
      <c r="B192" s="80"/>
      <c r="C192" s="80"/>
      <c r="D192" s="80"/>
      <c r="E192" s="80"/>
      <c r="F192" s="80"/>
      <c r="G192" s="80"/>
      <c r="H192" s="80"/>
      <c r="I192" s="80"/>
      <c r="J192" s="80"/>
      <c r="K192" s="80"/>
      <c r="L192" s="80"/>
      <c r="M192" s="80"/>
      <c r="N192" s="80"/>
      <c r="O192" s="80"/>
      <c r="P192" s="80"/>
      <c r="Q192" s="80"/>
      <c r="R192" s="80"/>
      <c r="S192" s="80"/>
      <c r="T192" s="80"/>
      <c r="U192" s="80"/>
      <c r="V192" s="80"/>
      <c r="W192" s="80"/>
      <c r="X192" s="80"/>
      <c r="Y192" s="80"/>
      <c r="Z192" s="80"/>
    </row>
    <row r="193" spans="1:26" x14ac:dyDescent="0.25">
      <c r="A193" s="80"/>
      <c r="B193" s="80"/>
      <c r="C193" s="80"/>
      <c r="D193" s="80"/>
      <c r="E193" s="80"/>
      <c r="F193" s="80"/>
      <c r="G193" s="80"/>
      <c r="H193" s="80"/>
      <c r="I193" s="80"/>
      <c r="J193" s="80"/>
      <c r="K193" s="80"/>
      <c r="L193" s="80"/>
      <c r="M193" s="80"/>
      <c r="N193" s="80"/>
      <c r="O193" s="80"/>
      <c r="P193" s="80"/>
      <c r="Q193" s="80"/>
      <c r="R193" s="80"/>
      <c r="S193" s="80"/>
      <c r="T193" s="80"/>
      <c r="U193" s="80"/>
      <c r="V193" s="80"/>
      <c r="W193" s="80"/>
      <c r="X193" s="80"/>
      <c r="Y193" s="80"/>
      <c r="Z193" s="80"/>
    </row>
    <row r="194" spans="1:26" x14ac:dyDescent="0.25">
      <c r="A194" s="80"/>
      <c r="B194" s="80"/>
      <c r="C194" s="80"/>
      <c r="D194" s="80"/>
      <c r="E194" s="80"/>
      <c r="F194" s="80"/>
      <c r="G194" s="80"/>
      <c r="H194" s="80"/>
      <c r="I194" s="80"/>
      <c r="J194" s="80"/>
      <c r="K194" s="80"/>
      <c r="L194" s="80"/>
      <c r="M194" s="80"/>
      <c r="N194" s="80"/>
      <c r="O194" s="80"/>
      <c r="P194" s="80"/>
      <c r="Q194" s="80"/>
      <c r="R194" s="80"/>
      <c r="S194" s="80"/>
      <c r="T194" s="80"/>
      <c r="U194" s="80"/>
      <c r="V194" s="80"/>
      <c r="W194" s="80"/>
      <c r="X194" s="80"/>
      <c r="Y194" s="80"/>
      <c r="Z194" s="80"/>
    </row>
    <row r="195" spans="1:26" x14ac:dyDescent="0.25">
      <c r="A195" s="80"/>
      <c r="B195" s="80"/>
      <c r="C195" s="80"/>
      <c r="D195" s="80"/>
      <c r="E195" s="80"/>
      <c r="F195" s="80"/>
      <c r="G195" s="80"/>
      <c r="H195" s="80"/>
      <c r="I195" s="80"/>
      <c r="J195" s="80"/>
      <c r="K195" s="80"/>
      <c r="L195" s="80"/>
      <c r="M195" s="80"/>
      <c r="N195" s="80"/>
      <c r="O195" s="80"/>
      <c r="P195" s="80"/>
      <c r="Q195" s="80"/>
      <c r="R195" s="80"/>
      <c r="S195" s="80"/>
      <c r="T195" s="80"/>
      <c r="U195" s="80"/>
      <c r="V195" s="80"/>
      <c r="W195" s="80"/>
      <c r="X195" s="80"/>
      <c r="Y195" s="80"/>
      <c r="Z195" s="80"/>
    </row>
    <row r="196" spans="1:26" x14ac:dyDescent="0.25">
      <c r="A196" s="80"/>
      <c r="B196" s="80"/>
      <c r="C196" s="80"/>
      <c r="D196" s="80"/>
      <c r="E196" s="80"/>
      <c r="F196" s="80"/>
      <c r="G196" s="80"/>
      <c r="H196" s="80"/>
      <c r="I196" s="80"/>
      <c r="J196" s="80"/>
      <c r="K196" s="80"/>
      <c r="L196" s="80"/>
      <c r="M196" s="80"/>
      <c r="N196" s="80"/>
      <c r="O196" s="80"/>
      <c r="P196" s="80"/>
      <c r="Q196" s="80"/>
      <c r="R196" s="80"/>
      <c r="S196" s="80"/>
      <c r="T196" s="80"/>
      <c r="U196" s="80"/>
      <c r="V196" s="80"/>
      <c r="W196" s="80"/>
      <c r="X196" s="80"/>
      <c r="Y196" s="80"/>
      <c r="Z196" s="80"/>
    </row>
    <row r="197" spans="1:26" x14ac:dyDescent="0.25">
      <c r="A197" s="80"/>
      <c r="B197" s="80"/>
      <c r="C197" s="80"/>
      <c r="D197" s="80"/>
      <c r="E197" s="80"/>
      <c r="F197" s="80"/>
      <c r="G197" s="80"/>
      <c r="H197" s="80"/>
      <c r="I197" s="80"/>
      <c r="J197" s="80"/>
      <c r="K197" s="80"/>
      <c r="L197" s="80"/>
      <c r="M197" s="80"/>
      <c r="N197" s="80"/>
      <c r="O197" s="80"/>
      <c r="P197" s="80"/>
      <c r="Q197" s="80"/>
      <c r="R197" s="80"/>
      <c r="S197" s="80"/>
      <c r="T197" s="80"/>
      <c r="U197" s="80"/>
      <c r="V197" s="80"/>
      <c r="W197" s="80"/>
      <c r="X197" s="80"/>
      <c r="Y197" s="80"/>
      <c r="Z197" s="80"/>
    </row>
    <row r="198" spans="1:26" x14ac:dyDescent="0.25">
      <c r="A198" s="80"/>
      <c r="B198" s="80"/>
      <c r="C198" s="80"/>
      <c r="D198" s="80"/>
      <c r="E198" s="80"/>
      <c r="F198" s="80"/>
      <c r="G198" s="80"/>
      <c r="H198" s="80"/>
      <c r="I198" s="80"/>
      <c r="J198" s="80"/>
      <c r="K198" s="80"/>
      <c r="L198" s="80"/>
      <c r="M198" s="80"/>
      <c r="N198" s="80"/>
      <c r="O198" s="80"/>
      <c r="P198" s="80"/>
      <c r="Q198" s="80"/>
      <c r="R198" s="80"/>
      <c r="S198" s="80"/>
      <c r="T198" s="80"/>
      <c r="U198" s="80"/>
      <c r="V198" s="80"/>
      <c r="W198" s="80"/>
      <c r="X198" s="80"/>
      <c r="Y198" s="80"/>
      <c r="Z198" s="80"/>
    </row>
    <row r="199" spans="1:26" x14ac:dyDescent="0.25">
      <c r="A199" s="80"/>
      <c r="B199" s="80"/>
      <c r="C199" s="80"/>
      <c r="D199" s="80"/>
      <c r="E199" s="80"/>
      <c r="F199" s="80"/>
      <c r="G199" s="80"/>
      <c r="H199" s="80"/>
      <c r="I199" s="80"/>
      <c r="J199" s="80"/>
      <c r="K199" s="80"/>
      <c r="L199" s="80"/>
      <c r="M199" s="80"/>
      <c r="N199" s="80"/>
      <c r="O199" s="80"/>
      <c r="P199" s="80"/>
      <c r="Q199" s="80"/>
      <c r="R199" s="80"/>
      <c r="S199" s="80"/>
      <c r="T199" s="80"/>
      <c r="U199" s="80"/>
      <c r="V199" s="80"/>
      <c r="W199" s="80"/>
      <c r="X199" s="80"/>
      <c r="Y199" s="80"/>
      <c r="Z199" s="80"/>
    </row>
    <row r="200" spans="1:26" x14ac:dyDescent="0.25">
      <c r="A200" s="80"/>
      <c r="B200" s="80"/>
      <c r="C200" s="80"/>
      <c r="D200" s="80"/>
      <c r="E200" s="80"/>
      <c r="F200" s="80"/>
      <c r="G200" s="80"/>
      <c r="H200" s="80"/>
      <c r="I200" s="80"/>
      <c r="J200" s="80"/>
      <c r="K200" s="80"/>
      <c r="L200" s="80"/>
      <c r="M200" s="80"/>
      <c r="N200" s="80"/>
      <c r="O200" s="80"/>
      <c r="P200" s="80"/>
      <c r="Q200" s="80"/>
      <c r="R200" s="80"/>
      <c r="S200" s="80"/>
      <c r="T200" s="80"/>
      <c r="U200" s="80"/>
      <c r="V200" s="80"/>
      <c r="W200" s="80"/>
      <c r="X200" s="80"/>
      <c r="Y200" s="80"/>
      <c r="Z200" s="80"/>
    </row>
    <row r="201" spans="1:26" x14ac:dyDescent="0.25">
      <c r="A201" s="80"/>
      <c r="B201" s="80"/>
      <c r="C201" s="80"/>
      <c r="D201" s="80"/>
      <c r="E201" s="80"/>
      <c r="F201" s="80"/>
      <c r="G201" s="80"/>
      <c r="H201" s="80"/>
      <c r="I201" s="80"/>
      <c r="J201" s="80"/>
      <c r="K201" s="80"/>
      <c r="L201" s="80"/>
      <c r="M201" s="80"/>
      <c r="N201" s="80"/>
      <c r="O201" s="80"/>
      <c r="P201" s="80"/>
      <c r="Q201" s="80"/>
      <c r="R201" s="80"/>
      <c r="S201" s="80"/>
      <c r="T201" s="80"/>
      <c r="U201" s="80"/>
      <c r="V201" s="80"/>
      <c r="W201" s="80"/>
      <c r="X201" s="80"/>
      <c r="Y201" s="80"/>
      <c r="Z201" s="80"/>
    </row>
    <row r="202" spans="1:26" x14ac:dyDescent="0.25">
      <c r="A202" s="80"/>
      <c r="B202" s="80"/>
      <c r="C202" s="80"/>
      <c r="D202" s="80"/>
      <c r="E202" s="80"/>
      <c r="F202" s="80"/>
      <c r="G202" s="80"/>
      <c r="H202" s="80"/>
      <c r="I202" s="80"/>
      <c r="J202" s="80"/>
      <c r="K202" s="80"/>
      <c r="L202" s="80"/>
      <c r="M202" s="80"/>
      <c r="N202" s="80"/>
      <c r="O202" s="80"/>
      <c r="P202" s="80"/>
      <c r="Q202" s="80"/>
      <c r="R202" s="80"/>
      <c r="S202" s="80"/>
      <c r="T202" s="80"/>
      <c r="U202" s="80"/>
      <c r="V202" s="80"/>
      <c r="W202" s="80"/>
      <c r="X202" s="80"/>
      <c r="Y202" s="80"/>
      <c r="Z202" s="80"/>
    </row>
    <row r="203" spans="1:26" x14ac:dyDescent="0.25">
      <c r="A203" s="80"/>
      <c r="B203" s="80"/>
      <c r="C203" s="80"/>
      <c r="D203" s="80"/>
      <c r="E203" s="80"/>
      <c r="F203" s="80"/>
      <c r="G203" s="80"/>
      <c r="H203" s="80"/>
      <c r="I203" s="80"/>
      <c r="J203" s="80"/>
      <c r="K203" s="80"/>
      <c r="L203" s="80"/>
      <c r="M203" s="80"/>
      <c r="N203" s="80"/>
      <c r="O203" s="80"/>
      <c r="P203" s="80"/>
      <c r="Q203" s="80"/>
      <c r="R203" s="80"/>
      <c r="S203" s="80"/>
      <c r="T203" s="80"/>
      <c r="U203" s="80"/>
      <c r="V203" s="80"/>
      <c r="W203" s="80"/>
      <c r="X203" s="80"/>
      <c r="Y203" s="80"/>
      <c r="Z203" s="80"/>
    </row>
    <row r="204" spans="1:26" x14ac:dyDescent="0.25">
      <c r="A204" s="80"/>
      <c r="B204" s="80"/>
      <c r="C204" s="80"/>
      <c r="D204" s="80"/>
      <c r="E204" s="80"/>
      <c r="F204" s="80"/>
      <c r="G204" s="80"/>
      <c r="H204" s="80"/>
      <c r="I204" s="80"/>
      <c r="J204" s="80"/>
      <c r="K204" s="80"/>
      <c r="L204" s="80"/>
      <c r="M204" s="80"/>
      <c r="N204" s="80"/>
      <c r="O204" s="80"/>
      <c r="P204" s="80"/>
      <c r="Q204" s="80"/>
      <c r="R204" s="80"/>
      <c r="S204" s="80"/>
      <c r="T204" s="80"/>
      <c r="U204" s="80"/>
      <c r="V204" s="80"/>
      <c r="W204" s="80"/>
      <c r="X204" s="80"/>
      <c r="Y204" s="80"/>
      <c r="Z204" s="80"/>
    </row>
    <row r="205" spans="1:26" x14ac:dyDescent="0.25">
      <c r="A205" s="80"/>
      <c r="B205" s="80"/>
      <c r="C205" s="80"/>
      <c r="D205" s="80"/>
      <c r="E205" s="80"/>
      <c r="F205" s="80"/>
      <c r="G205" s="80"/>
      <c r="H205" s="80"/>
      <c r="I205" s="80"/>
      <c r="J205" s="80"/>
      <c r="K205" s="80"/>
      <c r="L205" s="80"/>
      <c r="M205" s="80"/>
      <c r="N205" s="80"/>
      <c r="O205" s="80"/>
      <c r="P205" s="80"/>
      <c r="Q205" s="80"/>
      <c r="R205" s="80"/>
      <c r="S205" s="80"/>
      <c r="T205" s="80"/>
      <c r="U205" s="80"/>
      <c r="V205" s="80"/>
      <c r="W205" s="80"/>
      <c r="X205" s="80"/>
      <c r="Y205" s="80"/>
      <c r="Z205" s="80"/>
    </row>
    <row r="206" spans="1:26" x14ac:dyDescent="0.25">
      <c r="A206" s="80"/>
      <c r="B206" s="80"/>
      <c r="C206" s="80"/>
      <c r="D206" s="80"/>
      <c r="E206" s="80"/>
      <c r="F206" s="80"/>
      <c r="G206" s="80"/>
      <c r="H206" s="80"/>
      <c r="I206" s="80"/>
      <c r="J206" s="80"/>
      <c r="K206" s="80"/>
      <c r="L206" s="80"/>
      <c r="M206" s="80"/>
      <c r="N206" s="80"/>
      <c r="O206" s="80"/>
      <c r="P206" s="80"/>
      <c r="Q206" s="80"/>
      <c r="R206" s="80"/>
      <c r="S206" s="80"/>
      <c r="T206" s="80"/>
      <c r="U206" s="80"/>
      <c r="V206" s="80"/>
      <c r="W206" s="80"/>
      <c r="X206" s="80"/>
      <c r="Y206" s="80"/>
      <c r="Z206" s="80"/>
    </row>
    <row r="207" spans="1:26" x14ac:dyDescent="0.25">
      <c r="A207" s="80"/>
      <c r="B207" s="80"/>
      <c r="C207" s="80"/>
      <c r="D207" s="80"/>
      <c r="E207" s="80"/>
      <c r="F207" s="80"/>
      <c r="G207" s="80"/>
      <c r="H207" s="80"/>
      <c r="I207" s="80"/>
      <c r="J207" s="80"/>
      <c r="K207" s="80"/>
      <c r="L207" s="80"/>
      <c r="M207" s="80"/>
      <c r="N207" s="80"/>
      <c r="O207" s="80"/>
      <c r="P207" s="80"/>
      <c r="Q207" s="80"/>
      <c r="R207" s="80"/>
      <c r="S207" s="80"/>
      <c r="T207" s="80"/>
      <c r="U207" s="80"/>
      <c r="V207" s="80"/>
      <c r="W207" s="80"/>
      <c r="X207" s="80"/>
      <c r="Y207" s="80"/>
      <c r="Z207" s="80"/>
    </row>
    <row r="208" spans="1:26" x14ac:dyDescent="0.25">
      <c r="A208" s="80"/>
      <c r="B208" s="80"/>
      <c r="C208" s="80"/>
      <c r="D208" s="80"/>
      <c r="E208" s="80"/>
      <c r="F208" s="80"/>
      <c r="G208" s="80"/>
      <c r="H208" s="80"/>
      <c r="I208" s="80"/>
      <c r="J208" s="80"/>
      <c r="K208" s="80"/>
      <c r="L208" s="80"/>
      <c r="M208" s="80"/>
      <c r="N208" s="80"/>
      <c r="O208" s="80"/>
      <c r="P208" s="80"/>
      <c r="Q208" s="80"/>
      <c r="R208" s="80"/>
      <c r="S208" s="80"/>
      <c r="T208" s="80"/>
      <c r="U208" s="80"/>
      <c r="V208" s="80"/>
      <c r="W208" s="80"/>
      <c r="X208" s="80"/>
      <c r="Y208" s="80"/>
      <c r="Z208" s="80"/>
    </row>
    <row r="209" spans="1:26" x14ac:dyDescent="0.25">
      <c r="A209" s="80"/>
      <c r="B209" s="80"/>
      <c r="C209" s="80"/>
      <c r="D209" s="80"/>
      <c r="E209" s="80"/>
      <c r="F209" s="80"/>
      <c r="G209" s="80"/>
      <c r="H209" s="80"/>
      <c r="I209" s="80"/>
      <c r="J209" s="80"/>
      <c r="K209" s="80"/>
      <c r="L209" s="80"/>
      <c r="M209" s="80"/>
      <c r="N209" s="80"/>
      <c r="O209" s="80"/>
      <c r="P209" s="80"/>
      <c r="Q209" s="80"/>
      <c r="R209" s="80"/>
      <c r="S209" s="80"/>
      <c r="T209" s="80"/>
      <c r="U209" s="80"/>
      <c r="V209" s="80"/>
      <c r="W209" s="80"/>
      <c r="X209" s="80"/>
      <c r="Y209" s="80"/>
      <c r="Z209" s="80"/>
    </row>
    <row r="210" spans="1:26" x14ac:dyDescent="0.25">
      <c r="A210" s="80"/>
      <c r="B210" s="80"/>
      <c r="C210" s="80"/>
      <c r="D210" s="80"/>
      <c r="E210" s="80"/>
      <c r="F210" s="80"/>
      <c r="G210" s="80"/>
      <c r="H210" s="80"/>
      <c r="I210" s="80"/>
      <c r="J210" s="80"/>
      <c r="K210" s="80"/>
      <c r="L210" s="80"/>
      <c r="M210" s="80"/>
      <c r="N210" s="80"/>
      <c r="O210" s="80"/>
      <c r="P210" s="80"/>
      <c r="Q210" s="80"/>
      <c r="R210" s="80"/>
      <c r="S210" s="80"/>
      <c r="T210" s="80"/>
      <c r="U210" s="80"/>
      <c r="V210" s="80"/>
      <c r="W210" s="80"/>
      <c r="X210" s="80"/>
      <c r="Y210" s="80"/>
      <c r="Z210" s="80"/>
    </row>
    <row r="211" spans="1:26" x14ac:dyDescent="0.25">
      <c r="A211" s="80"/>
      <c r="B211" s="80"/>
      <c r="C211" s="80"/>
      <c r="D211" s="80"/>
      <c r="E211" s="80"/>
      <c r="F211" s="80"/>
      <c r="G211" s="80"/>
      <c r="H211" s="80"/>
      <c r="I211" s="80"/>
      <c r="J211" s="80"/>
      <c r="K211" s="80"/>
      <c r="L211" s="80"/>
      <c r="M211" s="80"/>
      <c r="N211" s="80"/>
      <c r="O211" s="80"/>
      <c r="P211" s="80"/>
      <c r="Q211" s="80"/>
      <c r="R211" s="80"/>
      <c r="S211" s="80"/>
      <c r="T211" s="80"/>
      <c r="U211" s="80"/>
      <c r="V211" s="80"/>
      <c r="W211" s="80"/>
      <c r="X211" s="80"/>
      <c r="Y211" s="80"/>
      <c r="Z211" s="80"/>
    </row>
    <row r="212" spans="1:26" x14ac:dyDescent="0.25">
      <c r="A212" s="80"/>
      <c r="B212" s="80"/>
      <c r="C212" s="80"/>
      <c r="D212" s="80"/>
      <c r="E212" s="80"/>
      <c r="F212" s="80"/>
      <c r="G212" s="80"/>
      <c r="H212" s="80"/>
      <c r="I212" s="80"/>
      <c r="J212" s="80"/>
      <c r="K212" s="80"/>
      <c r="L212" s="80"/>
      <c r="M212" s="80"/>
      <c r="N212" s="80"/>
      <c r="O212" s="80"/>
      <c r="P212" s="80"/>
      <c r="Q212" s="80"/>
      <c r="R212" s="80"/>
      <c r="S212" s="80"/>
      <c r="T212" s="80"/>
      <c r="U212" s="80"/>
      <c r="V212" s="80"/>
      <c r="W212" s="80"/>
      <c r="X212" s="80"/>
      <c r="Y212" s="80"/>
      <c r="Z212" s="80"/>
    </row>
    <row r="213" spans="1:26" x14ac:dyDescent="0.25">
      <c r="A213" s="80"/>
      <c r="B213" s="80"/>
      <c r="C213" s="80"/>
      <c r="D213" s="80"/>
      <c r="E213" s="80"/>
      <c r="F213" s="80"/>
      <c r="G213" s="80"/>
      <c r="H213" s="80"/>
      <c r="I213" s="80"/>
      <c r="J213" s="80"/>
      <c r="K213" s="80"/>
      <c r="L213" s="80"/>
      <c r="M213" s="80"/>
      <c r="N213" s="80"/>
      <c r="O213" s="80"/>
      <c r="P213" s="80"/>
      <c r="Q213" s="80"/>
      <c r="R213" s="80"/>
      <c r="S213" s="80"/>
      <c r="T213" s="80"/>
      <c r="U213" s="80"/>
      <c r="V213" s="80"/>
      <c r="W213" s="80"/>
      <c r="X213" s="80"/>
      <c r="Y213" s="80"/>
      <c r="Z213" s="80"/>
    </row>
    <row r="214" spans="1:26" x14ac:dyDescent="0.25">
      <c r="A214" s="80"/>
      <c r="B214" s="80"/>
      <c r="C214" s="80"/>
      <c r="D214" s="80"/>
      <c r="E214" s="80"/>
      <c r="F214" s="80"/>
      <c r="G214" s="80"/>
      <c r="H214" s="80"/>
      <c r="I214" s="80"/>
      <c r="J214" s="80"/>
      <c r="K214" s="80"/>
      <c r="L214" s="80"/>
      <c r="M214" s="80"/>
      <c r="N214" s="80"/>
      <c r="O214" s="80"/>
      <c r="P214" s="80"/>
      <c r="Q214" s="80"/>
      <c r="R214" s="80"/>
      <c r="S214" s="80"/>
      <c r="T214" s="80"/>
      <c r="U214" s="80"/>
      <c r="V214" s="80"/>
      <c r="W214" s="80"/>
      <c r="X214" s="80"/>
      <c r="Y214" s="80"/>
      <c r="Z214" s="80"/>
    </row>
    <row r="215" spans="1:26" x14ac:dyDescent="0.25">
      <c r="A215" s="80"/>
      <c r="B215" s="80"/>
      <c r="C215" s="80"/>
      <c r="D215" s="80"/>
      <c r="E215" s="80"/>
      <c r="F215" s="80"/>
      <c r="G215" s="80"/>
      <c r="H215" s="80"/>
      <c r="I215" s="80"/>
      <c r="J215" s="80"/>
      <c r="K215" s="80"/>
      <c r="L215" s="80"/>
      <c r="M215" s="80"/>
      <c r="N215" s="80"/>
      <c r="O215" s="80"/>
      <c r="P215" s="80"/>
      <c r="Q215" s="80"/>
      <c r="R215" s="80"/>
      <c r="S215" s="80"/>
      <c r="T215" s="80"/>
      <c r="U215" s="80"/>
      <c r="V215" s="80"/>
      <c r="W215" s="80"/>
      <c r="X215" s="80"/>
      <c r="Y215" s="80"/>
      <c r="Z215" s="80"/>
    </row>
    <row r="216" spans="1:26" x14ac:dyDescent="0.25">
      <c r="A216" s="80"/>
      <c r="B216" s="80"/>
      <c r="C216" s="80"/>
      <c r="D216" s="80"/>
      <c r="E216" s="80"/>
      <c r="F216" s="80"/>
      <c r="G216" s="80"/>
      <c r="H216" s="80"/>
      <c r="I216" s="80"/>
      <c r="J216" s="80"/>
      <c r="K216" s="80"/>
      <c r="L216" s="80"/>
      <c r="M216" s="80"/>
      <c r="N216" s="80"/>
      <c r="O216" s="80"/>
      <c r="P216" s="80"/>
      <c r="Q216" s="80"/>
      <c r="R216" s="80"/>
      <c r="S216" s="80"/>
      <c r="T216" s="80"/>
      <c r="U216" s="80"/>
      <c r="V216" s="80"/>
      <c r="W216" s="80"/>
      <c r="X216" s="80"/>
      <c r="Y216" s="80"/>
      <c r="Z216" s="80"/>
    </row>
    <row r="217" spans="1:26" x14ac:dyDescent="0.25">
      <c r="A217" s="80"/>
      <c r="B217" s="80"/>
      <c r="C217" s="80"/>
      <c r="D217" s="80"/>
      <c r="E217" s="80"/>
      <c r="F217" s="80"/>
      <c r="G217" s="80"/>
      <c r="H217" s="80"/>
      <c r="I217" s="80"/>
      <c r="J217" s="80"/>
      <c r="K217" s="80"/>
      <c r="L217" s="80"/>
      <c r="M217" s="80"/>
      <c r="N217" s="80"/>
      <c r="O217" s="80"/>
      <c r="P217" s="80"/>
      <c r="Q217" s="80"/>
      <c r="R217" s="80"/>
      <c r="S217" s="80"/>
      <c r="T217" s="80"/>
      <c r="U217" s="80"/>
      <c r="V217" s="80"/>
      <c r="W217" s="80"/>
      <c r="X217" s="80"/>
      <c r="Y217" s="80"/>
      <c r="Z217" s="80"/>
    </row>
    <row r="218" spans="1:26" x14ac:dyDescent="0.25">
      <c r="A218" s="80"/>
      <c r="B218" s="80"/>
      <c r="C218" s="80"/>
      <c r="D218" s="80"/>
      <c r="E218" s="80"/>
      <c r="F218" s="80"/>
      <c r="G218" s="80"/>
      <c r="H218" s="80"/>
      <c r="I218" s="80"/>
      <c r="J218" s="80"/>
      <c r="K218" s="80"/>
      <c r="L218" s="80"/>
      <c r="M218" s="80"/>
      <c r="N218" s="80"/>
      <c r="O218" s="80"/>
      <c r="P218" s="80"/>
      <c r="Q218" s="80"/>
      <c r="R218" s="80"/>
      <c r="S218" s="80"/>
      <c r="T218" s="80"/>
      <c r="U218" s="80"/>
      <c r="V218" s="80"/>
      <c r="W218" s="80"/>
      <c r="X218" s="80"/>
      <c r="Y218" s="80"/>
      <c r="Z218" s="80"/>
    </row>
    <row r="219" spans="1:26" x14ac:dyDescent="0.25">
      <c r="A219" s="80"/>
      <c r="B219" s="80"/>
      <c r="C219" s="80"/>
      <c r="D219" s="80"/>
      <c r="E219" s="80"/>
      <c r="F219" s="80"/>
      <c r="G219" s="80"/>
      <c r="H219" s="80"/>
      <c r="I219" s="80"/>
      <c r="J219" s="80"/>
      <c r="K219" s="80"/>
      <c r="L219" s="80"/>
      <c r="M219" s="80"/>
      <c r="N219" s="80"/>
      <c r="O219" s="80"/>
      <c r="P219" s="80"/>
      <c r="Q219" s="80"/>
      <c r="R219" s="80"/>
      <c r="S219" s="80"/>
      <c r="T219" s="80"/>
      <c r="U219" s="80"/>
      <c r="V219" s="80"/>
      <c r="W219" s="80"/>
      <c r="X219" s="80"/>
      <c r="Y219" s="80"/>
      <c r="Z219" s="80"/>
    </row>
    <row r="220" spans="1:26" x14ac:dyDescent="0.25">
      <c r="A220" s="80"/>
      <c r="B220" s="80"/>
      <c r="C220" s="80"/>
      <c r="D220" s="80"/>
      <c r="E220" s="80"/>
      <c r="F220" s="80"/>
      <c r="G220" s="80"/>
      <c r="H220" s="80"/>
      <c r="I220" s="80"/>
      <c r="J220" s="80"/>
      <c r="K220" s="80"/>
      <c r="L220" s="80"/>
      <c r="M220" s="80"/>
      <c r="N220" s="80"/>
      <c r="O220" s="80"/>
      <c r="P220" s="80"/>
      <c r="Q220" s="80"/>
      <c r="R220" s="80"/>
      <c r="S220" s="80"/>
      <c r="T220" s="80"/>
      <c r="U220" s="80"/>
      <c r="V220" s="80"/>
      <c r="W220" s="80"/>
      <c r="X220" s="80"/>
      <c r="Y220" s="80"/>
      <c r="Z220" s="80"/>
    </row>
    <row r="221" spans="1:26" x14ac:dyDescent="0.25">
      <c r="A221" s="80"/>
      <c r="B221" s="80"/>
      <c r="C221" s="80"/>
      <c r="D221" s="80"/>
      <c r="E221" s="80"/>
      <c r="F221" s="80"/>
      <c r="G221" s="80"/>
      <c r="H221" s="80"/>
      <c r="I221" s="80"/>
      <c r="J221" s="80"/>
      <c r="K221" s="80"/>
      <c r="L221" s="80"/>
      <c r="M221" s="80"/>
      <c r="N221" s="80"/>
      <c r="O221" s="80"/>
      <c r="P221" s="80"/>
      <c r="Q221" s="80"/>
      <c r="R221" s="80"/>
      <c r="S221" s="80"/>
      <c r="T221" s="80"/>
      <c r="U221" s="80"/>
      <c r="V221" s="80"/>
      <c r="W221" s="80"/>
      <c r="X221" s="80"/>
      <c r="Y221" s="80"/>
      <c r="Z221" s="80"/>
    </row>
    <row r="222" spans="1:26" x14ac:dyDescent="0.25">
      <c r="A222" s="80"/>
      <c r="B222" s="80"/>
      <c r="C222" s="80"/>
      <c r="D222" s="80"/>
      <c r="E222" s="80"/>
      <c r="F222" s="80"/>
      <c r="G222" s="80"/>
      <c r="H222" s="80"/>
      <c r="I222" s="80"/>
      <c r="J222" s="80"/>
      <c r="K222" s="80"/>
      <c r="L222" s="80"/>
      <c r="M222" s="80"/>
      <c r="N222" s="80"/>
      <c r="O222" s="80"/>
      <c r="P222" s="80"/>
      <c r="Q222" s="80"/>
      <c r="R222" s="80"/>
      <c r="S222" s="80"/>
      <c r="T222" s="80"/>
      <c r="U222" s="80"/>
      <c r="V222" s="80"/>
      <c r="W222" s="80"/>
      <c r="X222" s="80"/>
      <c r="Y222" s="80"/>
      <c r="Z222" s="80"/>
    </row>
    <row r="223" spans="1:26" x14ac:dyDescent="0.25">
      <c r="A223" s="80"/>
      <c r="B223" s="80"/>
      <c r="C223" s="80"/>
      <c r="D223" s="80"/>
      <c r="E223" s="80"/>
      <c r="F223" s="80"/>
      <c r="G223" s="80"/>
      <c r="H223" s="80"/>
      <c r="I223" s="80"/>
      <c r="J223" s="80"/>
      <c r="K223" s="80"/>
      <c r="L223" s="80"/>
      <c r="M223" s="80"/>
      <c r="N223" s="80"/>
      <c r="O223" s="80"/>
      <c r="P223" s="80"/>
      <c r="Q223" s="80"/>
      <c r="R223" s="80"/>
      <c r="S223" s="80"/>
      <c r="T223" s="80"/>
      <c r="U223" s="80"/>
      <c r="V223" s="80"/>
      <c r="W223" s="80"/>
      <c r="X223" s="80"/>
      <c r="Y223" s="80"/>
      <c r="Z223" s="80"/>
    </row>
    <row r="224" spans="1:26" x14ac:dyDescent="0.25">
      <c r="A224" s="80"/>
      <c r="B224" s="80"/>
      <c r="C224" s="80"/>
      <c r="D224" s="80"/>
      <c r="E224" s="80"/>
      <c r="F224" s="80"/>
      <c r="G224" s="80"/>
      <c r="H224" s="80"/>
      <c r="I224" s="80"/>
      <c r="J224" s="80"/>
      <c r="K224" s="80"/>
      <c r="L224" s="80"/>
      <c r="M224" s="80"/>
      <c r="N224" s="80"/>
      <c r="O224" s="80"/>
      <c r="P224" s="80"/>
      <c r="Q224" s="80"/>
      <c r="R224" s="80"/>
      <c r="S224" s="80"/>
      <c r="T224" s="80"/>
      <c r="U224" s="80"/>
      <c r="V224" s="80"/>
      <c r="W224" s="80"/>
      <c r="X224" s="80"/>
      <c r="Y224" s="80"/>
      <c r="Z224" s="80"/>
    </row>
    <row r="225" spans="1:26" x14ac:dyDescent="0.25">
      <c r="A225" s="80"/>
      <c r="B225" s="80"/>
      <c r="C225" s="80"/>
      <c r="D225" s="80"/>
      <c r="E225" s="80"/>
      <c r="F225" s="80"/>
      <c r="G225" s="80"/>
      <c r="H225" s="80"/>
      <c r="I225" s="80"/>
      <c r="J225" s="80"/>
      <c r="K225" s="80"/>
      <c r="L225" s="80"/>
      <c r="M225" s="80"/>
      <c r="N225" s="80"/>
      <c r="O225" s="80"/>
      <c r="P225" s="80"/>
      <c r="Q225" s="80"/>
      <c r="R225" s="80"/>
      <c r="S225" s="80"/>
      <c r="T225" s="80"/>
      <c r="U225" s="80"/>
      <c r="V225" s="80"/>
      <c r="W225" s="80"/>
      <c r="X225" s="80"/>
      <c r="Y225" s="80"/>
      <c r="Z225" s="80"/>
    </row>
    <row r="226" spans="1:26" x14ac:dyDescent="0.25">
      <c r="A226" s="80"/>
      <c r="B226" s="80"/>
      <c r="C226" s="80"/>
      <c r="D226" s="80"/>
      <c r="E226" s="80"/>
      <c r="F226" s="80"/>
      <c r="G226" s="80"/>
      <c r="H226" s="80"/>
      <c r="I226" s="80"/>
      <c r="J226" s="80"/>
      <c r="K226" s="80"/>
      <c r="L226" s="80"/>
      <c r="M226" s="80"/>
      <c r="N226" s="80"/>
      <c r="O226" s="80"/>
      <c r="P226" s="80"/>
      <c r="Q226" s="80"/>
      <c r="R226" s="80"/>
      <c r="S226" s="80"/>
      <c r="T226" s="80"/>
      <c r="U226" s="80"/>
      <c r="V226" s="80"/>
      <c r="W226" s="80"/>
      <c r="X226" s="80"/>
      <c r="Y226" s="80"/>
      <c r="Z226" s="80"/>
    </row>
    <row r="227" spans="1:26" x14ac:dyDescent="0.25">
      <c r="A227" s="80"/>
      <c r="B227" s="80"/>
      <c r="C227" s="80"/>
      <c r="D227" s="80"/>
      <c r="E227" s="80"/>
      <c r="F227" s="80"/>
      <c r="G227" s="80"/>
      <c r="H227" s="80"/>
      <c r="I227" s="80"/>
      <c r="J227" s="80"/>
      <c r="K227" s="80"/>
      <c r="L227" s="80"/>
      <c r="M227" s="80"/>
      <c r="N227" s="80"/>
      <c r="O227" s="80"/>
      <c r="P227" s="80"/>
      <c r="Q227" s="80"/>
      <c r="R227" s="80"/>
      <c r="S227" s="80"/>
      <c r="T227" s="80"/>
      <c r="U227" s="80"/>
      <c r="V227" s="80"/>
      <c r="W227" s="80"/>
      <c r="X227" s="80"/>
      <c r="Y227" s="80"/>
      <c r="Z227" s="80"/>
    </row>
    <row r="228" spans="1:26" x14ac:dyDescent="0.25">
      <c r="A228" s="80"/>
      <c r="B228" s="80"/>
      <c r="C228" s="80"/>
      <c r="D228" s="80"/>
      <c r="E228" s="80"/>
      <c r="F228" s="80"/>
      <c r="G228" s="80"/>
      <c r="H228" s="80"/>
      <c r="I228" s="80"/>
      <c r="J228" s="80"/>
      <c r="K228" s="80"/>
      <c r="L228" s="80"/>
      <c r="M228" s="80"/>
      <c r="N228" s="80"/>
      <c r="O228" s="80"/>
      <c r="P228" s="80"/>
      <c r="Q228" s="80"/>
      <c r="R228" s="80"/>
      <c r="S228" s="80"/>
      <c r="T228" s="80"/>
      <c r="U228" s="80"/>
      <c r="V228" s="80"/>
      <c r="W228" s="80"/>
      <c r="X228" s="80"/>
      <c r="Y228" s="80"/>
      <c r="Z228" s="80"/>
    </row>
    <row r="229" spans="1:26" x14ac:dyDescent="0.25">
      <c r="A229" s="80"/>
      <c r="B229" s="80"/>
      <c r="C229" s="80"/>
      <c r="D229" s="80"/>
      <c r="E229" s="80"/>
      <c r="F229" s="80"/>
      <c r="G229" s="80"/>
      <c r="H229" s="80"/>
      <c r="I229" s="80"/>
      <c r="J229" s="80"/>
      <c r="K229" s="80"/>
      <c r="L229" s="80"/>
      <c r="M229" s="80"/>
      <c r="N229" s="80"/>
      <c r="O229" s="80"/>
      <c r="P229" s="80"/>
      <c r="Q229" s="80"/>
      <c r="R229" s="80"/>
      <c r="S229" s="80"/>
      <c r="T229" s="80"/>
      <c r="U229" s="80"/>
      <c r="V229" s="80"/>
      <c r="W229" s="80"/>
      <c r="X229" s="80"/>
      <c r="Y229" s="80"/>
      <c r="Z229" s="80"/>
    </row>
    <row r="230" spans="1:26" x14ac:dyDescent="0.25">
      <c r="A230" s="80"/>
      <c r="B230" s="80"/>
      <c r="C230" s="80"/>
      <c r="D230" s="80"/>
      <c r="E230" s="80"/>
      <c r="F230" s="80"/>
      <c r="G230" s="80"/>
      <c r="H230" s="80"/>
      <c r="I230" s="80"/>
      <c r="J230" s="80"/>
      <c r="K230" s="80"/>
      <c r="L230" s="80"/>
      <c r="M230" s="80"/>
      <c r="N230" s="80"/>
      <c r="O230" s="80"/>
      <c r="P230" s="80"/>
      <c r="Q230" s="80"/>
      <c r="R230" s="80"/>
      <c r="S230" s="80"/>
      <c r="T230" s="80"/>
      <c r="U230" s="80"/>
      <c r="V230" s="80"/>
      <c r="W230" s="80"/>
      <c r="X230" s="80"/>
      <c r="Y230" s="80"/>
      <c r="Z230" s="80"/>
    </row>
    <row r="231" spans="1:26" x14ac:dyDescent="0.25">
      <c r="A231" s="80"/>
      <c r="B231" s="80"/>
      <c r="C231" s="80"/>
      <c r="D231" s="80"/>
      <c r="E231" s="80"/>
      <c r="F231" s="80"/>
      <c r="G231" s="80"/>
      <c r="H231" s="80"/>
      <c r="I231" s="80"/>
      <c r="J231" s="80"/>
      <c r="K231" s="80"/>
      <c r="L231" s="80"/>
      <c r="M231" s="80"/>
      <c r="N231" s="80"/>
      <c r="O231" s="80"/>
      <c r="P231" s="80"/>
      <c r="Q231" s="80"/>
      <c r="R231" s="80"/>
      <c r="S231" s="80"/>
      <c r="T231" s="80"/>
      <c r="U231" s="80"/>
      <c r="V231" s="80"/>
      <c r="W231" s="80"/>
      <c r="X231" s="80"/>
      <c r="Y231" s="80"/>
      <c r="Z231" s="80"/>
    </row>
    <row r="232" spans="1:26" x14ac:dyDescent="0.25">
      <c r="A232" s="80"/>
      <c r="B232" s="80"/>
      <c r="C232" s="80"/>
      <c r="D232" s="80"/>
      <c r="E232" s="80"/>
      <c r="F232" s="80"/>
      <c r="G232" s="80"/>
      <c r="H232" s="80"/>
      <c r="I232" s="80"/>
      <c r="J232" s="80"/>
      <c r="K232" s="80"/>
      <c r="L232" s="80"/>
      <c r="M232" s="80"/>
      <c r="N232" s="80"/>
      <c r="O232" s="80"/>
      <c r="P232" s="80"/>
      <c r="Q232" s="80"/>
      <c r="R232" s="80"/>
      <c r="S232" s="80"/>
      <c r="T232" s="80"/>
      <c r="U232" s="80"/>
      <c r="V232" s="80"/>
      <c r="W232" s="80"/>
      <c r="X232" s="80"/>
      <c r="Y232" s="80"/>
      <c r="Z232" s="80"/>
    </row>
    <row r="233" spans="1:26" x14ac:dyDescent="0.25">
      <c r="A233" s="80"/>
      <c r="B233" s="80"/>
      <c r="C233" s="80"/>
      <c r="D233" s="80"/>
      <c r="E233" s="80"/>
      <c r="F233" s="80"/>
      <c r="G233" s="80"/>
      <c r="H233" s="80"/>
      <c r="I233" s="80"/>
      <c r="J233" s="80"/>
      <c r="K233" s="80"/>
      <c r="L233" s="80"/>
      <c r="M233" s="80"/>
      <c r="N233" s="80"/>
      <c r="O233" s="80"/>
      <c r="P233" s="80"/>
      <c r="Q233" s="80"/>
      <c r="R233" s="80"/>
      <c r="S233" s="80"/>
      <c r="T233" s="80"/>
      <c r="U233" s="80"/>
      <c r="V233" s="80"/>
      <c r="W233" s="80"/>
      <c r="X233" s="80"/>
      <c r="Y233" s="80"/>
      <c r="Z233" s="80"/>
    </row>
    <row r="234" spans="1:26" x14ac:dyDescent="0.25">
      <c r="A234" s="80"/>
      <c r="B234" s="80"/>
      <c r="C234" s="80"/>
      <c r="D234" s="80"/>
      <c r="E234" s="80"/>
      <c r="F234" s="80"/>
      <c r="G234" s="80"/>
      <c r="H234" s="80"/>
      <c r="I234" s="80"/>
      <c r="J234" s="80"/>
      <c r="K234" s="80"/>
      <c r="L234" s="80"/>
      <c r="M234" s="80"/>
      <c r="N234" s="80"/>
      <c r="O234" s="80"/>
      <c r="P234" s="80"/>
      <c r="Q234" s="80"/>
      <c r="R234" s="80"/>
      <c r="S234" s="80"/>
      <c r="T234" s="80"/>
      <c r="U234" s="80"/>
      <c r="V234" s="80"/>
      <c r="W234" s="80"/>
      <c r="X234" s="80"/>
      <c r="Y234" s="80"/>
      <c r="Z234" s="80"/>
    </row>
    <row r="235" spans="1:26" x14ac:dyDescent="0.25">
      <c r="A235" s="80"/>
      <c r="B235" s="80"/>
      <c r="C235" s="80"/>
      <c r="D235" s="80"/>
      <c r="E235" s="80"/>
      <c r="F235" s="80"/>
      <c r="G235" s="80"/>
      <c r="H235" s="80"/>
      <c r="I235" s="80"/>
      <c r="J235" s="80"/>
      <c r="K235" s="80"/>
      <c r="L235" s="80"/>
      <c r="M235" s="80"/>
      <c r="N235" s="80"/>
      <c r="O235" s="80"/>
      <c r="P235" s="80"/>
      <c r="Q235" s="80"/>
      <c r="R235" s="80"/>
      <c r="S235" s="80"/>
      <c r="T235" s="80"/>
      <c r="U235" s="80"/>
      <c r="V235" s="80"/>
      <c r="W235" s="80"/>
      <c r="X235" s="80"/>
      <c r="Y235" s="80"/>
      <c r="Z235" s="80"/>
    </row>
    <row r="236" spans="1:26" x14ac:dyDescent="0.25">
      <c r="A236" s="80"/>
      <c r="B236" s="80"/>
      <c r="C236" s="80"/>
      <c r="D236" s="80"/>
      <c r="E236" s="80"/>
      <c r="F236" s="80"/>
      <c r="G236" s="80"/>
      <c r="H236" s="80"/>
      <c r="I236" s="80"/>
      <c r="J236" s="80"/>
      <c r="K236" s="80"/>
      <c r="L236" s="80"/>
      <c r="M236" s="80"/>
      <c r="N236" s="80"/>
      <c r="O236" s="80"/>
      <c r="P236" s="80"/>
      <c r="Q236" s="80"/>
      <c r="R236" s="80"/>
      <c r="S236" s="80"/>
      <c r="T236" s="80"/>
      <c r="U236" s="80"/>
      <c r="V236" s="80"/>
      <c r="W236" s="80"/>
      <c r="X236" s="80"/>
      <c r="Y236" s="80"/>
      <c r="Z236" s="80"/>
    </row>
    <row r="237" spans="1:26" x14ac:dyDescent="0.25">
      <c r="A237" s="80"/>
      <c r="B237" s="80"/>
      <c r="C237" s="80"/>
      <c r="D237" s="80"/>
      <c r="E237" s="80"/>
      <c r="F237" s="80"/>
      <c r="G237" s="80"/>
      <c r="H237" s="80"/>
      <c r="I237" s="80"/>
      <c r="J237" s="80"/>
      <c r="K237" s="80"/>
      <c r="L237" s="80"/>
      <c r="M237" s="80"/>
      <c r="N237" s="80"/>
      <c r="O237" s="80"/>
      <c r="P237" s="80"/>
      <c r="Q237" s="80"/>
      <c r="R237" s="80"/>
      <c r="S237" s="80"/>
      <c r="T237" s="80"/>
      <c r="U237" s="80"/>
      <c r="V237" s="80"/>
      <c r="W237" s="80"/>
      <c r="X237" s="80"/>
      <c r="Y237" s="80"/>
      <c r="Z237" s="80"/>
    </row>
    <row r="238" spans="1:26" x14ac:dyDescent="0.25">
      <c r="A238" s="80"/>
      <c r="B238" s="80"/>
      <c r="C238" s="80"/>
      <c r="D238" s="80"/>
      <c r="E238" s="80"/>
      <c r="F238" s="80"/>
      <c r="G238" s="80"/>
      <c r="H238" s="80"/>
      <c r="I238" s="80"/>
      <c r="J238" s="80"/>
      <c r="K238" s="80"/>
      <c r="L238" s="80"/>
      <c r="M238" s="80"/>
      <c r="N238" s="80"/>
      <c r="O238" s="80"/>
      <c r="P238" s="80"/>
      <c r="Q238" s="80"/>
      <c r="R238" s="80"/>
      <c r="S238" s="80"/>
      <c r="T238" s="80"/>
      <c r="U238" s="80"/>
      <c r="V238" s="80"/>
      <c r="W238" s="80"/>
      <c r="X238" s="80"/>
      <c r="Y238" s="80"/>
      <c r="Z238" s="80"/>
    </row>
    <row r="239" spans="1:26" x14ac:dyDescent="0.25">
      <c r="A239" s="80"/>
      <c r="B239" s="80"/>
      <c r="C239" s="80"/>
      <c r="D239" s="80"/>
      <c r="E239" s="80"/>
      <c r="F239" s="80"/>
      <c r="G239" s="80"/>
      <c r="H239" s="80"/>
      <c r="I239" s="80"/>
      <c r="J239" s="80"/>
      <c r="K239" s="80"/>
      <c r="L239" s="80"/>
      <c r="M239" s="80"/>
      <c r="N239" s="80"/>
      <c r="O239" s="80"/>
      <c r="P239" s="80"/>
      <c r="Q239" s="80"/>
      <c r="R239" s="80"/>
      <c r="S239" s="80"/>
      <c r="T239" s="80"/>
      <c r="U239" s="80"/>
      <c r="V239" s="80"/>
      <c r="W239" s="80"/>
      <c r="X239" s="80"/>
      <c r="Y239" s="80"/>
      <c r="Z239" s="80"/>
    </row>
    <row r="240" spans="1:26" x14ac:dyDescent="0.25">
      <c r="A240" s="80"/>
      <c r="B240" s="80"/>
      <c r="C240" s="80"/>
      <c r="D240" s="80"/>
      <c r="E240" s="80"/>
      <c r="F240" s="80"/>
      <c r="G240" s="80"/>
      <c r="H240" s="80"/>
      <c r="I240" s="80"/>
      <c r="J240" s="80"/>
      <c r="K240" s="80"/>
      <c r="L240" s="80"/>
      <c r="M240" s="80"/>
      <c r="N240" s="80"/>
      <c r="O240" s="80"/>
      <c r="P240" s="80"/>
      <c r="Q240" s="80"/>
      <c r="R240" s="80"/>
      <c r="S240" s="80"/>
      <c r="T240" s="80"/>
      <c r="U240" s="80"/>
      <c r="V240" s="80"/>
      <c r="W240" s="80"/>
      <c r="X240" s="80"/>
      <c r="Y240" s="80"/>
      <c r="Z240" s="80"/>
    </row>
    <row r="241" spans="1:26" x14ac:dyDescent="0.25">
      <c r="A241" s="80"/>
      <c r="B241" s="80"/>
      <c r="C241" s="80"/>
      <c r="D241" s="80"/>
      <c r="E241" s="80"/>
      <c r="F241" s="80"/>
      <c r="G241" s="80"/>
      <c r="H241" s="80"/>
      <c r="I241" s="80"/>
      <c r="J241" s="80"/>
      <c r="K241" s="80"/>
      <c r="L241" s="80"/>
      <c r="M241" s="80"/>
      <c r="N241" s="80"/>
      <c r="O241" s="80"/>
      <c r="P241" s="80"/>
      <c r="Q241" s="80"/>
      <c r="R241" s="80"/>
      <c r="S241" s="80"/>
      <c r="T241" s="80"/>
      <c r="U241" s="80"/>
      <c r="V241" s="80"/>
      <c r="W241" s="80"/>
      <c r="X241" s="80"/>
      <c r="Y241" s="80"/>
      <c r="Z241" s="80"/>
    </row>
    <row r="242" spans="1:26" x14ac:dyDescent="0.25">
      <c r="A242" s="80"/>
      <c r="B242" s="80"/>
      <c r="C242" s="80"/>
      <c r="D242" s="80"/>
      <c r="E242" s="80"/>
      <c r="F242" s="80"/>
      <c r="G242" s="80"/>
      <c r="H242" s="80"/>
      <c r="I242" s="80"/>
      <c r="J242" s="80"/>
      <c r="K242" s="80"/>
      <c r="L242" s="80"/>
      <c r="M242" s="80"/>
      <c r="N242" s="80"/>
      <c r="O242" s="80"/>
      <c r="P242" s="80"/>
      <c r="Q242" s="80"/>
      <c r="R242" s="80"/>
      <c r="S242" s="80"/>
      <c r="T242" s="80"/>
      <c r="U242" s="80"/>
      <c r="V242" s="80"/>
      <c r="W242" s="80"/>
      <c r="X242" s="80"/>
      <c r="Y242" s="80"/>
      <c r="Z242" s="80"/>
    </row>
    <row r="243" spans="1:26" x14ac:dyDescent="0.25">
      <c r="A243" s="80"/>
      <c r="B243" s="80"/>
      <c r="C243" s="80"/>
      <c r="D243" s="80"/>
      <c r="E243" s="80"/>
      <c r="F243" s="80"/>
      <c r="G243" s="80"/>
      <c r="H243" s="80"/>
      <c r="I243" s="80"/>
      <c r="J243" s="80"/>
      <c r="K243" s="80"/>
      <c r="L243" s="80"/>
      <c r="M243" s="80"/>
      <c r="N243" s="80"/>
      <c r="O243" s="80"/>
      <c r="P243" s="80"/>
      <c r="Q243" s="80"/>
      <c r="R243" s="80"/>
      <c r="S243" s="80"/>
      <c r="T243" s="80"/>
      <c r="U243" s="80"/>
      <c r="V243" s="80"/>
      <c r="W243" s="80"/>
      <c r="X243" s="80"/>
      <c r="Y243" s="80"/>
      <c r="Z243" s="80"/>
    </row>
    <row r="244" spans="1:26" x14ac:dyDescent="0.25">
      <c r="A244" s="80"/>
      <c r="B244" s="80"/>
      <c r="C244" s="80"/>
      <c r="D244" s="80"/>
      <c r="E244" s="80"/>
      <c r="F244" s="80"/>
      <c r="G244" s="80"/>
      <c r="H244" s="80"/>
      <c r="I244" s="80"/>
      <c r="J244" s="80"/>
      <c r="K244" s="80"/>
      <c r="L244" s="80"/>
      <c r="M244" s="80"/>
      <c r="N244" s="80"/>
      <c r="O244" s="80"/>
      <c r="P244" s="80"/>
      <c r="Q244" s="80"/>
      <c r="R244" s="80"/>
      <c r="S244" s="80"/>
      <c r="T244" s="80"/>
      <c r="U244" s="80"/>
      <c r="V244" s="80"/>
      <c r="W244" s="80"/>
      <c r="X244" s="80"/>
      <c r="Y244" s="80"/>
      <c r="Z244" s="80"/>
    </row>
    <row r="245" spans="1:26" x14ac:dyDescent="0.25">
      <c r="A245" s="80"/>
      <c r="B245" s="80"/>
      <c r="C245" s="80"/>
      <c r="D245" s="80"/>
      <c r="E245" s="80"/>
      <c r="F245" s="80"/>
      <c r="G245" s="80"/>
      <c r="H245" s="80"/>
      <c r="I245" s="80"/>
      <c r="J245" s="80"/>
      <c r="K245" s="80"/>
      <c r="L245" s="80"/>
      <c r="M245" s="80"/>
      <c r="N245" s="80"/>
      <c r="O245" s="80"/>
      <c r="P245" s="80"/>
      <c r="Q245" s="80"/>
      <c r="R245" s="80"/>
      <c r="S245" s="80"/>
      <c r="T245" s="80"/>
      <c r="U245" s="80"/>
      <c r="V245" s="80"/>
      <c r="W245" s="80"/>
      <c r="X245" s="80"/>
      <c r="Y245" s="80"/>
      <c r="Z245" s="80"/>
    </row>
    <row r="246" spans="1:26" x14ac:dyDescent="0.25">
      <c r="A246" s="80"/>
      <c r="B246" s="80"/>
      <c r="C246" s="80"/>
      <c r="D246" s="80"/>
      <c r="E246" s="80"/>
      <c r="F246" s="80"/>
      <c r="G246" s="80"/>
      <c r="H246" s="80"/>
      <c r="I246" s="80"/>
      <c r="J246" s="80"/>
      <c r="K246" s="80"/>
      <c r="L246" s="80"/>
      <c r="M246" s="80"/>
      <c r="N246" s="80"/>
      <c r="O246" s="80"/>
      <c r="P246" s="80"/>
      <c r="Q246" s="80"/>
      <c r="R246" s="80"/>
      <c r="S246" s="80"/>
      <c r="T246" s="80"/>
      <c r="U246" s="80"/>
      <c r="V246" s="80"/>
      <c r="W246" s="80"/>
      <c r="X246" s="80"/>
      <c r="Y246" s="80"/>
      <c r="Z246" s="80"/>
    </row>
    <row r="247" spans="1:26" x14ac:dyDescent="0.25">
      <c r="A247" s="80"/>
      <c r="B247" s="80"/>
      <c r="C247" s="80"/>
      <c r="D247" s="80"/>
      <c r="E247" s="80"/>
      <c r="F247" s="80"/>
      <c r="G247" s="80"/>
      <c r="H247" s="80"/>
      <c r="I247" s="80"/>
      <c r="J247" s="80"/>
      <c r="K247" s="80"/>
      <c r="L247" s="80"/>
      <c r="M247" s="80"/>
      <c r="N247" s="80"/>
      <c r="O247" s="80"/>
      <c r="P247" s="80"/>
      <c r="Q247" s="80"/>
      <c r="R247" s="80"/>
      <c r="S247" s="80"/>
      <c r="T247" s="80"/>
      <c r="U247" s="80"/>
      <c r="V247" s="80"/>
      <c r="W247" s="80"/>
      <c r="X247" s="80"/>
      <c r="Y247" s="80"/>
      <c r="Z247" s="80"/>
    </row>
    <row r="248" spans="1:26" x14ac:dyDescent="0.25">
      <c r="A248" s="80"/>
      <c r="B248" s="80"/>
      <c r="C248" s="80"/>
      <c r="D248" s="80"/>
      <c r="E248" s="80"/>
      <c r="F248" s="80"/>
      <c r="G248" s="80"/>
      <c r="H248" s="80"/>
      <c r="I248" s="80"/>
      <c r="J248" s="80"/>
      <c r="K248" s="80"/>
      <c r="L248" s="80"/>
      <c r="M248" s="80"/>
      <c r="N248" s="80"/>
      <c r="O248" s="80"/>
      <c r="P248" s="80"/>
      <c r="Q248" s="80"/>
      <c r="R248" s="80"/>
      <c r="S248" s="80"/>
      <c r="T248" s="80"/>
      <c r="U248" s="80"/>
      <c r="V248" s="80"/>
      <c r="W248" s="80"/>
      <c r="X248" s="80"/>
      <c r="Y248" s="80"/>
      <c r="Z248" s="80"/>
    </row>
    <row r="249" spans="1:26" x14ac:dyDescent="0.25">
      <c r="A249" s="80"/>
      <c r="B249" s="80"/>
      <c r="C249" s="80"/>
      <c r="D249" s="80"/>
      <c r="E249" s="80"/>
      <c r="F249" s="80"/>
      <c r="G249" s="80"/>
      <c r="H249" s="80"/>
      <c r="I249" s="80"/>
      <c r="J249" s="80"/>
      <c r="K249" s="80"/>
      <c r="L249" s="80"/>
      <c r="M249" s="80"/>
      <c r="N249" s="80"/>
      <c r="O249" s="80"/>
      <c r="P249" s="80"/>
      <c r="Q249" s="80"/>
      <c r="R249" s="80"/>
      <c r="S249" s="80"/>
      <c r="T249" s="80"/>
      <c r="U249" s="80"/>
      <c r="V249" s="80"/>
      <c r="W249" s="80"/>
      <c r="X249" s="80"/>
      <c r="Y249" s="80"/>
      <c r="Z249" s="80"/>
    </row>
    <row r="250" spans="1:26" x14ac:dyDescent="0.25">
      <c r="A250" s="80"/>
      <c r="B250" s="80"/>
      <c r="C250" s="80"/>
      <c r="D250" s="80"/>
      <c r="E250" s="80"/>
      <c r="F250" s="80"/>
      <c r="G250" s="80"/>
      <c r="H250" s="80"/>
      <c r="I250" s="80"/>
      <c r="J250" s="80"/>
      <c r="K250" s="80"/>
      <c r="L250" s="80"/>
      <c r="M250" s="80"/>
      <c r="N250" s="80"/>
      <c r="O250" s="80"/>
      <c r="P250" s="80"/>
      <c r="Q250" s="80"/>
      <c r="R250" s="80"/>
      <c r="S250" s="80"/>
      <c r="T250" s="80"/>
      <c r="U250" s="80"/>
      <c r="V250" s="80"/>
      <c r="W250" s="80"/>
      <c r="X250" s="80"/>
      <c r="Y250" s="80"/>
      <c r="Z250" s="80"/>
    </row>
    <row r="251" spans="1:26" x14ac:dyDescent="0.25">
      <c r="A251" s="80"/>
      <c r="B251" s="80"/>
      <c r="C251" s="80"/>
      <c r="D251" s="80"/>
      <c r="E251" s="80"/>
      <c r="F251" s="80"/>
      <c r="G251" s="80"/>
      <c r="H251" s="80"/>
      <c r="I251" s="80"/>
      <c r="J251" s="80"/>
      <c r="K251" s="80"/>
      <c r="L251" s="80"/>
      <c r="M251" s="80"/>
      <c r="N251" s="80"/>
      <c r="O251" s="80"/>
      <c r="P251" s="80"/>
      <c r="Q251" s="80"/>
      <c r="R251" s="80"/>
      <c r="S251" s="80"/>
      <c r="T251" s="80"/>
      <c r="U251" s="80"/>
      <c r="V251" s="80"/>
      <c r="W251" s="80"/>
      <c r="X251" s="80"/>
      <c r="Y251" s="80"/>
      <c r="Z251" s="80"/>
    </row>
    <row r="252" spans="1:26" x14ac:dyDescent="0.25">
      <c r="A252" s="80"/>
      <c r="B252" s="80"/>
      <c r="C252" s="80"/>
      <c r="D252" s="80"/>
      <c r="E252" s="80"/>
      <c r="F252" s="80"/>
      <c r="G252" s="80"/>
      <c r="H252" s="80"/>
      <c r="I252" s="80"/>
      <c r="J252" s="80"/>
      <c r="K252" s="80"/>
      <c r="L252" s="80"/>
      <c r="M252" s="80"/>
      <c r="N252" s="80"/>
      <c r="O252" s="80"/>
      <c r="P252" s="80"/>
      <c r="Q252" s="80"/>
      <c r="R252" s="80"/>
      <c r="S252" s="80"/>
      <c r="T252" s="80"/>
      <c r="U252" s="80"/>
      <c r="V252" s="80"/>
      <c r="W252" s="80"/>
      <c r="X252" s="80"/>
      <c r="Y252" s="80"/>
      <c r="Z252" s="80"/>
    </row>
    <row r="253" spans="1:26" x14ac:dyDescent="0.25">
      <c r="A253" s="80"/>
      <c r="B253" s="80"/>
      <c r="C253" s="80"/>
      <c r="D253" s="80"/>
      <c r="E253" s="80"/>
      <c r="F253" s="80"/>
      <c r="G253" s="80"/>
      <c r="H253" s="80"/>
      <c r="I253" s="80"/>
      <c r="J253" s="80"/>
      <c r="K253" s="80"/>
      <c r="L253" s="80"/>
      <c r="M253" s="80"/>
      <c r="N253" s="80"/>
      <c r="O253" s="80"/>
      <c r="P253" s="80"/>
      <c r="Q253" s="80"/>
      <c r="R253" s="80"/>
      <c r="S253" s="80"/>
      <c r="T253" s="80"/>
      <c r="U253" s="80"/>
      <c r="V253" s="80"/>
      <c r="W253" s="80"/>
      <c r="X253" s="80"/>
      <c r="Y253" s="80"/>
      <c r="Z253" s="80"/>
    </row>
    <row r="254" spans="1:26" x14ac:dyDescent="0.25">
      <c r="A254" s="80"/>
      <c r="B254" s="80"/>
      <c r="C254" s="80"/>
      <c r="D254" s="80"/>
      <c r="E254" s="80"/>
      <c r="F254" s="80"/>
      <c r="G254" s="80"/>
      <c r="H254" s="80"/>
      <c r="I254" s="80"/>
      <c r="J254" s="80"/>
      <c r="K254" s="80"/>
      <c r="L254" s="80"/>
      <c r="M254" s="80"/>
      <c r="N254" s="80"/>
      <c r="O254" s="80"/>
      <c r="P254" s="80"/>
      <c r="Q254" s="80"/>
      <c r="R254" s="80"/>
      <c r="S254" s="80"/>
      <c r="T254" s="80"/>
      <c r="U254" s="80"/>
      <c r="V254" s="80"/>
      <c r="W254" s="80"/>
      <c r="X254" s="80"/>
      <c r="Y254" s="80"/>
      <c r="Z254" s="80"/>
    </row>
    <row r="255" spans="1:26" x14ac:dyDescent="0.25">
      <c r="A255" s="80"/>
      <c r="B255" s="80"/>
      <c r="C255" s="80"/>
      <c r="D255" s="80"/>
      <c r="E255" s="80"/>
      <c r="F255" s="80"/>
      <c r="G255" s="80"/>
      <c r="H255" s="80"/>
      <c r="I255" s="80"/>
      <c r="J255" s="80"/>
      <c r="K255" s="80"/>
      <c r="L255" s="80"/>
      <c r="M255" s="80"/>
      <c r="N255" s="80"/>
      <c r="O255" s="80"/>
      <c r="P255" s="80"/>
      <c r="Q255" s="80"/>
      <c r="R255" s="80"/>
      <c r="S255" s="80"/>
      <c r="T255" s="80"/>
      <c r="U255" s="80"/>
      <c r="V255" s="80"/>
      <c r="W255" s="80"/>
      <c r="X255" s="80"/>
      <c r="Y255" s="80"/>
      <c r="Z255" s="80"/>
    </row>
    <row r="256" spans="1:26" x14ac:dyDescent="0.25">
      <c r="A256" s="80"/>
      <c r="B256" s="80"/>
      <c r="C256" s="80"/>
      <c r="D256" s="80"/>
      <c r="E256" s="80"/>
      <c r="F256" s="80"/>
      <c r="G256" s="80"/>
      <c r="H256" s="80"/>
      <c r="I256" s="80"/>
      <c r="J256" s="80"/>
      <c r="K256" s="80"/>
      <c r="L256" s="80"/>
      <c r="M256" s="80"/>
      <c r="N256" s="80"/>
      <c r="O256" s="80"/>
      <c r="P256" s="80"/>
      <c r="Q256" s="80"/>
      <c r="R256" s="80"/>
      <c r="S256" s="80"/>
      <c r="T256" s="80"/>
      <c r="U256" s="80"/>
      <c r="V256" s="80"/>
      <c r="W256" s="80"/>
      <c r="X256" s="80"/>
      <c r="Y256" s="80"/>
      <c r="Z256" s="80"/>
    </row>
    <row r="257" spans="1:26" x14ac:dyDescent="0.25">
      <c r="A257" s="80"/>
      <c r="B257" s="80"/>
      <c r="C257" s="80"/>
      <c r="D257" s="80"/>
      <c r="E257" s="80"/>
      <c r="F257" s="80"/>
      <c r="G257" s="80"/>
      <c r="H257" s="80"/>
      <c r="I257" s="80"/>
      <c r="J257" s="80"/>
      <c r="K257" s="80"/>
      <c r="L257" s="80"/>
      <c r="M257" s="80"/>
      <c r="N257" s="80"/>
      <c r="O257" s="80"/>
      <c r="P257" s="80"/>
      <c r="Q257" s="80"/>
      <c r="R257" s="80"/>
      <c r="S257" s="80"/>
      <c r="T257" s="80"/>
      <c r="U257" s="80"/>
      <c r="V257" s="80"/>
      <c r="W257" s="80"/>
      <c r="X257" s="80"/>
      <c r="Y257" s="80"/>
      <c r="Z257" s="80"/>
    </row>
    <row r="258" spans="1:26" x14ac:dyDescent="0.25">
      <c r="A258" s="80"/>
      <c r="B258" s="80"/>
      <c r="C258" s="80"/>
      <c r="D258" s="80"/>
      <c r="E258" s="80"/>
      <c r="F258" s="80"/>
      <c r="G258" s="80"/>
      <c r="H258" s="80"/>
      <c r="I258" s="80"/>
      <c r="J258" s="80"/>
      <c r="K258" s="80"/>
      <c r="L258" s="80"/>
      <c r="M258" s="80"/>
      <c r="N258" s="80"/>
      <c r="O258" s="80"/>
      <c r="P258" s="80"/>
      <c r="Q258" s="80"/>
      <c r="R258" s="80"/>
      <c r="S258" s="80"/>
      <c r="T258" s="80"/>
      <c r="U258" s="80"/>
      <c r="V258" s="80"/>
      <c r="W258" s="80"/>
      <c r="X258" s="80"/>
      <c r="Y258" s="80"/>
      <c r="Z258" s="80"/>
    </row>
    <row r="259" spans="1:26" x14ac:dyDescent="0.25">
      <c r="A259" s="80"/>
      <c r="B259" s="80"/>
      <c r="C259" s="80"/>
      <c r="D259" s="80"/>
      <c r="E259" s="80"/>
      <c r="F259" s="80"/>
      <c r="G259" s="80"/>
      <c r="H259" s="80"/>
      <c r="I259" s="80"/>
      <c r="J259" s="80"/>
      <c r="K259" s="80"/>
      <c r="L259" s="80"/>
      <c r="M259" s="80"/>
      <c r="N259" s="80"/>
      <c r="O259" s="80"/>
      <c r="P259" s="80"/>
      <c r="Q259" s="80"/>
      <c r="R259" s="80"/>
      <c r="S259" s="80"/>
      <c r="T259" s="80"/>
      <c r="U259" s="80"/>
      <c r="V259" s="80"/>
      <c r="W259" s="80"/>
      <c r="X259" s="80"/>
      <c r="Y259" s="80"/>
      <c r="Z259" s="80"/>
    </row>
    <row r="260" spans="1:26" x14ac:dyDescent="0.25">
      <c r="A260" s="80"/>
      <c r="B260" s="80"/>
      <c r="C260" s="80"/>
      <c r="D260" s="80"/>
      <c r="E260" s="80"/>
      <c r="F260" s="80"/>
      <c r="G260" s="80"/>
      <c r="H260" s="80"/>
      <c r="I260" s="80"/>
      <c r="J260" s="80"/>
      <c r="K260" s="80"/>
      <c r="L260" s="80"/>
      <c r="M260" s="80"/>
      <c r="N260" s="80"/>
      <c r="O260" s="80"/>
      <c r="P260" s="80"/>
      <c r="Q260" s="80"/>
      <c r="R260" s="80"/>
      <c r="S260" s="80"/>
      <c r="T260" s="80"/>
      <c r="U260" s="80"/>
      <c r="V260" s="80"/>
      <c r="W260" s="80"/>
      <c r="X260" s="80"/>
      <c r="Y260" s="80"/>
      <c r="Z260" s="80"/>
    </row>
    <row r="261" spans="1:26" x14ac:dyDescent="0.25">
      <c r="A261" s="80"/>
      <c r="B261" s="80"/>
      <c r="C261" s="80"/>
      <c r="D261" s="80"/>
      <c r="E261" s="80"/>
      <c r="F261" s="80"/>
      <c r="G261" s="80"/>
      <c r="H261" s="80"/>
      <c r="I261" s="80"/>
      <c r="J261" s="80"/>
      <c r="K261" s="80"/>
      <c r="L261" s="80"/>
      <c r="M261" s="80"/>
      <c r="N261" s="80"/>
      <c r="O261" s="80"/>
      <c r="P261" s="80"/>
      <c r="Q261" s="80"/>
      <c r="R261" s="80"/>
      <c r="S261" s="80"/>
      <c r="T261" s="80"/>
      <c r="U261" s="80"/>
      <c r="V261" s="80"/>
      <c r="W261" s="80"/>
      <c r="X261" s="80"/>
      <c r="Y261" s="80"/>
      <c r="Z261" s="80"/>
    </row>
    <row r="262" spans="1:26" x14ac:dyDescent="0.25">
      <c r="A262" s="80"/>
      <c r="B262" s="80"/>
      <c r="C262" s="80"/>
      <c r="D262" s="80"/>
      <c r="E262" s="80"/>
      <c r="F262" s="80"/>
      <c r="G262" s="80"/>
      <c r="H262" s="80"/>
      <c r="I262" s="80"/>
      <c r="J262" s="80"/>
      <c r="K262" s="80"/>
      <c r="L262" s="80"/>
      <c r="M262" s="80"/>
      <c r="N262" s="80"/>
      <c r="O262" s="80"/>
      <c r="P262" s="80"/>
      <c r="Q262" s="80"/>
      <c r="R262" s="80"/>
      <c r="S262" s="80"/>
      <c r="T262" s="80"/>
      <c r="U262" s="80"/>
      <c r="V262" s="80"/>
      <c r="W262" s="80"/>
      <c r="X262" s="80"/>
      <c r="Y262" s="80"/>
      <c r="Z262" s="80"/>
    </row>
    <row r="263" spans="1:26" x14ac:dyDescent="0.25">
      <c r="A263" s="80"/>
      <c r="B263" s="80"/>
      <c r="C263" s="80"/>
      <c r="D263" s="80"/>
      <c r="E263" s="80"/>
      <c r="F263" s="80"/>
      <c r="G263" s="80"/>
      <c r="H263" s="80"/>
      <c r="I263" s="80"/>
      <c r="J263" s="80"/>
      <c r="K263" s="80"/>
      <c r="L263" s="80"/>
      <c r="M263" s="80"/>
      <c r="N263" s="80"/>
      <c r="O263" s="80"/>
      <c r="P263" s="80"/>
      <c r="Q263" s="80"/>
      <c r="R263" s="80"/>
      <c r="S263" s="80"/>
      <c r="T263" s="80"/>
      <c r="U263" s="80"/>
      <c r="V263" s="80"/>
      <c r="W263" s="80"/>
      <c r="X263" s="80"/>
      <c r="Y263" s="80"/>
      <c r="Z263" s="80"/>
    </row>
    <row r="264" spans="1:26" x14ac:dyDescent="0.25">
      <c r="A264" s="80"/>
      <c r="B264" s="80"/>
      <c r="C264" s="80"/>
      <c r="D264" s="80"/>
      <c r="E264" s="80"/>
      <c r="F264" s="80"/>
      <c r="G264" s="80"/>
      <c r="H264" s="80"/>
      <c r="I264" s="80"/>
      <c r="J264" s="80"/>
      <c r="K264" s="80"/>
      <c r="L264" s="80"/>
      <c r="M264" s="80"/>
      <c r="N264" s="80"/>
      <c r="O264" s="80"/>
      <c r="P264" s="80"/>
      <c r="Q264" s="80"/>
      <c r="R264" s="80"/>
      <c r="S264" s="80"/>
      <c r="T264" s="80"/>
      <c r="U264" s="80"/>
      <c r="V264" s="80"/>
      <c r="W264" s="80"/>
      <c r="X264" s="80"/>
      <c r="Y264" s="80"/>
      <c r="Z264" s="80"/>
    </row>
    <row r="265" spans="1:26" x14ac:dyDescent="0.25">
      <c r="A265" s="80"/>
      <c r="B265" s="80"/>
      <c r="C265" s="80"/>
      <c r="D265" s="80"/>
      <c r="E265" s="80"/>
      <c r="F265" s="80"/>
      <c r="G265" s="80"/>
      <c r="H265" s="80"/>
      <c r="I265" s="80"/>
      <c r="J265" s="80"/>
      <c r="K265" s="80"/>
      <c r="L265" s="80"/>
      <c r="M265" s="80"/>
      <c r="N265" s="80"/>
      <c r="O265" s="80"/>
      <c r="P265" s="80"/>
      <c r="Q265" s="80"/>
      <c r="R265" s="80"/>
      <c r="S265" s="80"/>
      <c r="T265" s="80"/>
      <c r="U265" s="80"/>
      <c r="V265" s="80"/>
      <c r="W265" s="80"/>
      <c r="X265" s="80"/>
      <c r="Y265" s="80"/>
      <c r="Z265" s="80"/>
    </row>
    <row r="266" spans="1:26" x14ac:dyDescent="0.25">
      <c r="A266" s="80"/>
      <c r="B266" s="80"/>
      <c r="C266" s="80"/>
      <c r="D266" s="80"/>
      <c r="E266" s="80"/>
      <c r="F266" s="80"/>
      <c r="G266" s="80"/>
      <c r="H266" s="80"/>
      <c r="I266" s="80"/>
      <c r="J266" s="80"/>
      <c r="K266" s="80"/>
      <c r="L266" s="80"/>
      <c r="M266" s="80"/>
      <c r="N266" s="80"/>
      <c r="O266" s="80"/>
      <c r="P266" s="80"/>
      <c r="Q266" s="80"/>
      <c r="R266" s="80"/>
      <c r="S266" s="80"/>
      <c r="T266" s="80"/>
      <c r="U266" s="80"/>
      <c r="V266" s="80"/>
      <c r="W266" s="80"/>
      <c r="X266" s="80"/>
      <c r="Y266" s="80"/>
      <c r="Z266" s="80"/>
    </row>
    <row r="267" spans="1:26" x14ac:dyDescent="0.25">
      <c r="A267" s="80"/>
      <c r="B267" s="80"/>
      <c r="C267" s="80"/>
      <c r="D267" s="80"/>
      <c r="E267" s="80"/>
      <c r="F267" s="80"/>
      <c r="G267" s="80"/>
      <c r="H267" s="80"/>
      <c r="I267" s="80"/>
      <c r="J267" s="80"/>
      <c r="K267" s="80"/>
      <c r="L267" s="80"/>
      <c r="M267" s="80"/>
      <c r="N267" s="80"/>
      <c r="O267" s="80"/>
      <c r="P267" s="80"/>
      <c r="Q267" s="80"/>
      <c r="R267" s="80"/>
      <c r="S267" s="80"/>
      <c r="T267" s="80"/>
      <c r="U267" s="80"/>
      <c r="V267" s="80"/>
      <c r="W267" s="80"/>
      <c r="X267" s="80"/>
      <c r="Y267" s="80"/>
      <c r="Z267" s="80"/>
    </row>
    <row r="268" spans="1:26" x14ac:dyDescent="0.25">
      <c r="A268" s="80"/>
      <c r="B268" s="80"/>
      <c r="C268" s="80"/>
      <c r="D268" s="80"/>
      <c r="E268" s="80"/>
      <c r="F268" s="80"/>
      <c r="G268" s="80"/>
      <c r="H268" s="80"/>
      <c r="I268" s="80"/>
      <c r="J268" s="80"/>
      <c r="K268" s="80"/>
      <c r="L268" s="80"/>
      <c r="M268" s="80"/>
      <c r="N268" s="80"/>
      <c r="O268" s="80"/>
      <c r="P268" s="80"/>
      <c r="Q268" s="80"/>
      <c r="R268" s="80"/>
      <c r="S268" s="80"/>
      <c r="T268" s="80"/>
      <c r="U268" s="80"/>
      <c r="V268" s="80"/>
      <c r="W268" s="80"/>
      <c r="X268" s="80"/>
      <c r="Y268" s="80"/>
      <c r="Z268" s="80"/>
    </row>
    <row r="269" spans="1:26" x14ac:dyDescent="0.25">
      <c r="A269" s="80"/>
      <c r="B269" s="80"/>
      <c r="C269" s="80"/>
      <c r="D269" s="80"/>
      <c r="E269" s="80"/>
      <c r="F269" s="80"/>
      <c r="G269" s="80"/>
      <c r="H269" s="80"/>
      <c r="I269" s="80"/>
      <c r="J269" s="80"/>
      <c r="K269" s="80"/>
      <c r="L269" s="80"/>
      <c r="M269" s="80"/>
      <c r="N269" s="80"/>
      <c r="O269" s="80"/>
      <c r="P269" s="80"/>
      <c r="Q269" s="80"/>
      <c r="R269" s="80"/>
      <c r="S269" s="80"/>
      <c r="T269" s="80"/>
      <c r="U269" s="80"/>
      <c r="V269" s="80"/>
      <c r="W269" s="80"/>
      <c r="X269" s="80"/>
      <c r="Y269" s="80"/>
      <c r="Z269" s="80"/>
    </row>
    <row r="270" spans="1:26" x14ac:dyDescent="0.25">
      <c r="A270" s="80"/>
      <c r="B270" s="80"/>
      <c r="C270" s="80"/>
      <c r="D270" s="80"/>
      <c r="E270" s="80"/>
      <c r="F270" s="80"/>
      <c r="G270" s="80"/>
      <c r="H270" s="80"/>
      <c r="I270" s="80"/>
      <c r="J270" s="80"/>
      <c r="K270" s="80"/>
      <c r="L270" s="80"/>
      <c r="M270" s="80"/>
      <c r="N270" s="80"/>
      <c r="O270" s="80"/>
      <c r="P270" s="80"/>
      <c r="Q270" s="80"/>
      <c r="R270" s="80"/>
      <c r="S270" s="80"/>
      <c r="T270" s="80"/>
      <c r="U270" s="80"/>
      <c r="V270" s="80"/>
      <c r="W270" s="80"/>
      <c r="X270" s="80"/>
      <c r="Y270" s="80"/>
      <c r="Z270" s="80"/>
    </row>
    <row r="271" spans="1:26" x14ac:dyDescent="0.25">
      <c r="A271" s="80"/>
      <c r="B271" s="80"/>
      <c r="C271" s="80"/>
      <c r="D271" s="80"/>
      <c r="E271" s="80"/>
      <c r="F271" s="80"/>
      <c r="G271" s="80"/>
      <c r="H271" s="80"/>
      <c r="I271" s="80"/>
      <c r="J271" s="80"/>
      <c r="K271" s="80"/>
      <c r="L271" s="80"/>
      <c r="M271" s="80"/>
      <c r="N271" s="80"/>
      <c r="O271" s="80"/>
      <c r="P271" s="80"/>
      <c r="Q271" s="80"/>
      <c r="R271" s="80"/>
      <c r="S271" s="80"/>
      <c r="T271" s="80"/>
      <c r="U271" s="80"/>
      <c r="V271" s="80"/>
      <c r="W271" s="80"/>
      <c r="X271" s="80"/>
      <c r="Y271" s="80"/>
      <c r="Z271" s="80"/>
    </row>
    <row r="272" spans="1:26" x14ac:dyDescent="0.25">
      <c r="A272" s="80"/>
      <c r="B272" s="80"/>
      <c r="C272" s="80"/>
      <c r="D272" s="80"/>
      <c r="E272" s="80"/>
      <c r="F272" s="80"/>
      <c r="G272" s="80"/>
      <c r="H272" s="80"/>
      <c r="I272" s="80"/>
      <c r="J272" s="80"/>
      <c r="K272" s="80"/>
      <c r="L272" s="80"/>
      <c r="M272" s="80"/>
      <c r="N272" s="80"/>
      <c r="O272" s="80"/>
      <c r="P272" s="80"/>
      <c r="Q272" s="80"/>
      <c r="R272" s="80"/>
      <c r="S272" s="80"/>
      <c r="T272" s="80"/>
      <c r="U272" s="80"/>
      <c r="V272" s="80"/>
      <c r="W272" s="80"/>
      <c r="X272" s="80"/>
      <c r="Y272" s="80"/>
      <c r="Z272" s="80"/>
    </row>
    <row r="273" spans="1:26" x14ac:dyDescent="0.25">
      <c r="A273" s="80"/>
      <c r="B273" s="80"/>
      <c r="C273" s="80"/>
      <c r="D273" s="80"/>
      <c r="E273" s="80"/>
      <c r="F273" s="80"/>
      <c r="G273" s="80"/>
      <c r="H273" s="80"/>
      <c r="I273" s="80"/>
      <c r="J273" s="80"/>
      <c r="K273" s="80"/>
      <c r="L273" s="80"/>
      <c r="M273" s="80"/>
      <c r="N273" s="80"/>
      <c r="O273" s="80"/>
      <c r="P273" s="80"/>
      <c r="Q273" s="80"/>
      <c r="R273" s="80"/>
      <c r="S273" s="80"/>
      <c r="T273" s="80"/>
      <c r="U273" s="80"/>
      <c r="V273" s="80"/>
      <c r="W273" s="80"/>
      <c r="X273" s="80"/>
      <c r="Y273" s="80"/>
      <c r="Z273" s="80"/>
    </row>
    <row r="274" spans="1:26" x14ac:dyDescent="0.25">
      <c r="A274" s="80"/>
      <c r="B274" s="80"/>
      <c r="C274" s="80"/>
      <c r="D274" s="80"/>
      <c r="E274" s="80"/>
      <c r="F274" s="80"/>
      <c r="G274" s="80"/>
      <c r="H274" s="80"/>
      <c r="I274" s="80"/>
      <c r="J274" s="80"/>
      <c r="K274" s="80"/>
      <c r="L274" s="80"/>
      <c r="M274" s="80"/>
      <c r="N274" s="80"/>
      <c r="O274" s="80"/>
      <c r="P274" s="80"/>
      <c r="Q274" s="80"/>
      <c r="R274" s="80"/>
      <c r="S274" s="80"/>
      <c r="T274" s="80"/>
      <c r="U274" s="80"/>
      <c r="V274" s="80"/>
      <c r="W274" s="80"/>
      <c r="X274" s="80"/>
      <c r="Y274" s="80"/>
      <c r="Z274" s="80"/>
    </row>
    <row r="275" spans="1:26" x14ac:dyDescent="0.25">
      <c r="A275" s="80"/>
      <c r="B275" s="80"/>
      <c r="C275" s="80"/>
      <c r="D275" s="80"/>
      <c r="E275" s="80"/>
      <c r="F275" s="80"/>
      <c r="G275" s="80"/>
      <c r="H275" s="80"/>
      <c r="I275" s="80"/>
      <c r="J275" s="80"/>
      <c r="K275" s="80"/>
      <c r="L275" s="80"/>
      <c r="M275" s="80"/>
      <c r="N275" s="80"/>
      <c r="O275" s="80"/>
      <c r="P275" s="80"/>
      <c r="Q275" s="80"/>
      <c r="R275" s="80"/>
      <c r="S275" s="80"/>
      <c r="T275" s="80"/>
      <c r="U275" s="80"/>
      <c r="V275" s="80"/>
      <c r="W275" s="80"/>
      <c r="X275" s="80"/>
      <c r="Y275" s="80"/>
      <c r="Z275" s="80"/>
    </row>
    <row r="276" spans="1:26" x14ac:dyDescent="0.25">
      <c r="A276" s="80"/>
      <c r="B276" s="80"/>
      <c r="C276" s="80"/>
      <c r="D276" s="80"/>
      <c r="E276" s="80"/>
      <c r="F276" s="80"/>
      <c r="G276" s="80"/>
      <c r="H276" s="80"/>
      <c r="I276" s="80"/>
      <c r="J276" s="80"/>
      <c r="K276" s="80"/>
      <c r="L276" s="80"/>
      <c r="M276" s="80"/>
      <c r="N276" s="80"/>
      <c r="O276" s="80"/>
      <c r="P276" s="80"/>
      <c r="Q276" s="80"/>
      <c r="R276" s="80"/>
      <c r="S276" s="80"/>
      <c r="T276" s="80"/>
      <c r="U276" s="80"/>
      <c r="V276" s="80"/>
      <c r="W276" s="80"/>
      <c r="X276" s="80"/>
      <c r="Y276" s="80"/>
      <c r="Z276" s="80"/>
    </row>
    <row r="277" spans="1:26" x14ac:dyDescent="0.25">
      <c r="A277" s="80"/>
      <c r="B277" s="80"/>
      <c r="C277" s="80"/>
      <c r="D277" s="80"/>
      <c r="E277" s="80"/>
      <c r="F277" s="80"/>
      <c r="G277" s="80"/>
      <c r="H277" s="80"/>
      <c r="I277" s="80"/>
      <c r="J277" s="80"/>
      <c r="K277" s="80"/>
      <c r="L277" s="80"/>
      <c r="M277" s="80"/>
      <c r="N277" s="80"/>
      <c r="O277" s="80"/>
      <c r="P277" s="80"/>
      <c r="Q277" s="80"/>
      <c r="R277" s="80"/>
      <c r="S277" s="80"/>
      <c r="T277" s="80"/>
      <c r="U277" s="80"/>
      <c r="V277" s="80"/>
      <c r="W277" s="80"/>
      <c r="X277" s="80"/>
      <c r="Y277" s="80"/>
      <c r="Z277" s="80"/>
    </row>
    <row r="278" spans="1:26" x14ac:dyDescent="0.25">
      <c r="A278" s="80"/>
      <c r="B278" s="80"/>
      <c r="C278" s="80"/>
      <c r="D278" s="80"/>
      <c r="E278" s="80"/>
      <c r="F278" s="80"/>
      <c r="G278" s="80"/>
      <c r="H278" s="80"/>
      <c r="I278" s="80"/>
      <c r="J278" s="80"/>
      <c r="K278" s="80"/>
      <c r="L278" s="80"/>
      <c r="M278" s="80"/>
      <c r="N278" s="80"/>
      <c r="O278" s="80"/>
      <c r="P278" s="80"/>
      <c r="Q278" s="80"/>
      <c r="R278" s="80"/>
      <c r="S278" s="80"/>
      <c r="T278" s="80"/>
      <c r="U278" s="80"/>
      <c r="V278" s="80"/>
      <c r="W278" s="80"/>
      <c r="X278" s="80"/>
      <c r="Y278" s="80"/>
      <c r="Z278" s="80"/>
    </row>
    <row r="279" spans="1:26" x14ac:dyDescent="0.25">
      <c r="A279" s="80"/>
      <c r="B279" s="80"/>
      <c r="C279" s="80"/>
      <c r="D279" s="80"/>
      <c r="E279" s="80"/>
      <c r="F279" s="80"/>
      <c r="G279" s="80"/>
      <c r="H279" s="80"/>
      <c r="I279" s="80"/>
      <c r="J279" s="80"/>
      <c r="K279" s="80"/>
      <c r="L279" s="80"/>
      <c r="M279" s="80"/>
      <c r="N279" s="80"/>
      <c r="O279" s="80"/>
      <c r="P279" s="80"/>
      <c r="Q279" s="80"/>
      <c r="R279" s="80"/>
      <c r="S279" s="80"/>
      <c r="T279" s="80"/>
      <c r="U279" s="80"/>
      <c r="V279" s="80"/>
      <c r="W279" s="80"/>
      <c r="X279" s="80"/>
      <c r="Y279" s="80"/>
      <c r="Z279" s="80"/>
    </row>
    <row r="280" spans="1:26" x14ac:dyDescent="0.25">
      <c r="A280" s="80"/>
      <c r="B280" s="80"/>
      <c r="C280" s="80"/>
      <c r="D280" s="80"/>
      <c r="E280" s="80"/>
      <c r="F280" s="80"/>
      <c r="G280" s="80"/>
      <c r="H280" s="80"/>
      <c r="I280" s="80"/>
      <c r="J280" s="80"/>
      <c r="K280" s="80"/>
      <c r="L280" s="80"/>
      <c r="M280" s="80"/>
      <c r="N280" s="80"/>
      <c r="O280" s="80"/>
      <c r="P280" s="80"/>
      <c r="Q280" s="80"/>
      <c r="R280" s="80"/>
      <c r="S280" s="80"/>
      <c r="T280" s="80"/>
      <c r="U280" s="80"/>
      <c r="V280" s="80"/>
      <c r="W280" s="80"/>
      <c r="X280" s="80"/>
      <c r="Y280" s="80"/>
      <c r="Z280" s="80"/>
    </row>
    <row r="281" spans="1:26" x14ac:dyDescent="0.25">
      <c r="A281" s="80"/>
      <c r="B281" s="80"/>
      <c r="C281" s="80"/>
      <c r="D281" s="80"/>
      <c r="E281" s="80"/>
      <c r="F281" s="80"/>
      <c r="G281" s="80"/>
      <c r="H281" s="80"/>
      <c r="I281" s="80"/>
      <c r="J281" s="80"/>
      <c r="K281" s="80"/>
      <c r="L281" s="80"/>
      <c r="M281" s="80"/>
      <c r="N281" s="80"/>
      <c r="O281" s="80"/>
      <c r="P281" s="80"/>
      <c r="Q281" s="80"/>
      <c r="R281" s="80"/>
      <c r="S281" s="80"/>
      <c r="T281" s="80"/>
      <c r="U281" s="80"/>
      <c r="V281" s="80"/>
      <c r="W281" s="80"/>
      <c r="X281" s="80"/>
      <c r="Y281" s="80"/>
      <c r="Z281" s="80"/>
    </row>
    <row r="282" spans="1:26" x14ac:dyDescent="0.25">
      <c r="A282" s="80"/>
      <c r="B282" s="80"/>
      <c r="C282" s="80"/>
      <c r="D282" s="80"/>
      <c r="E282" s="80"/>
      <c r="F282" s="80"/>
      <c r="G282" s="80"/>
      <c r="H282" s="80"/>
      <c r="I282" s="80"/>
      <c r="J282" s="80"/>
      <c r="K282" s="80"/>
      <c r="L282" s="80"/>
      <c r="M282" s="80"/>
      <c r="N282" s="80"/>
      <c r="O282" s="80"/>
      <c r="P282" s="80"/>
      <c r="Q282" s="80"/>
      <c r="R282" s="80"/>
      <c r="S282" s="80"/>
      <c r="T282" s="80"/>
      <c r="U282" s="80"/>
      <c r="V282" s="80"/>
      <c r="W282" s="80"/>
      <c r="X282" s="80"/>
      <c r="Y282" s="80"/>
      <c r="Z282" s="80"/>
    </row>
    <row r="283" spans="1:26" x14ac:dyDescent="0.25">
      <c r="A283" s="80"/>
      <c r="B283" s="80"/>
      <c r="C283" s="80"/>
      <c r="D283" s="80"/>
      <c r="E283" s="80"/>
      <c r="F283" s="80"/>
      <c r="G283" s="80"/>
      <c r="H283" s="80"/>
      <c r="I283" s="80"/>
      <c r="J283" s="80"/>
      <c r="K283" s="80"/>
      <c r="L283" s="80"/>
      <c r="M283" s="80"/>
      <c r="N283" s="80"/>
      <c r="O283" s="80"/>
      <c r="P283" s="80"/>
      <c r="Q283" s="80"/>
      <c r="R283" s="80"/>
      <c r="S283" s="80"/>
      <c r="T283" s="80"/>
      <c r="U283" s="80"/>
      <c r="V283" s="80"/>
      <c r="W283" s="80"/>
      <c r="X283" s="80"/>
      <c r="Y283" s="80"/>
      <c r="Z283" s="80"/>
    </row>
    <row r="284" spans="1:26" x14ac:dyDescent="0.25">
      <c r="A284" s="80"/>
      <c r="B284" s="80"/>
      <c r="C284" s="80"/>
      <c r="D284" s="80"/>
      <c r="E284" s="80"/>
      <c r="F284" s="80"/>
      <c r="G284" s="80"/>
      <c r="H284" s="80"/>
      <c r="I284" s="80"/>
      <c r="J284" s="80"/>
      <c r="K284" s="80"/>
      <c r="L284" s="80"/>
      <c r="M284" s="80"/>
      <c r="N284" s="80"/>
      <c r="O284" s="80"/>
      <c r="P284" s="80"/>
      <c r="Q284" s="80"/>
      <c r="R284" s="80"/>
      <c r="S284" s="80"/>
      <c r="T284" s="80"/>
      <c r="U284" s="80"/>
      <c r="V284" s="80"/>
      <c r="W284" s="80"/>
      <c r="X284" s="80"/>
      <c r="Y284" s="80"/>
      <c r="Z284" s="80"/>
    </row>
    <row r="285" spans="1:26" x14ac:dyDescent="0.25">
      <c r="A285" s="80"/>
      <c r="B285" s="80"/>
      <c r="C285" s="80"/>
      <c r="D285" s="80"/>
      <c r="E285" s="80"/>
      <c r="F285" s="80"/>
      <c r="G285" s="80"/>
      <c r="H285" s="80"/>
      <c r="I285" s="80"/>
      <c r="J285" s="80"/>
      <c r="K285" s="80"/>
      <c r="L285" s="80"/>
      <c r="M285" s="80"/>
      <c r="N285" s="80"/>
      <c r="O285" s="80"/>
      <c r="P285" s="80"/>
      <c r="Q285" s="80"/>
      <c r="R285" s="80"/>
      <c r="S285" s="80"/>
      <c r="T285" s="80"/>
      <c r="U285" s="80"/>
      <c r="V285" s="80"/>
      <c r="W285" s="80"/>
      <c r="X285" s="80"/>
      <c r="Y285" s="80"/>
      <c r="Z285" s="80"/>
    </row>
    <row r="286" spans="1:26" x14ac:dyDescent="0.25">
      <c r="A286" s="80"/>
      <c r="B286" s="80"/>
      <c r="C286" s="80"/>
      <c r="D286" s="80"/>
      <c r="E286" s="80"/>
      <c r="F286" s="80"/>
      <c r="G286" s="80"/>
      <c r="H286" s="80"/>
      <c r="I286" s="80"/>
      <c r="J286" s="80"/>
      <c r="K286" s="80"/>
      <c r="L286" s="80"/>
      <c r="M286" s="80"/>
      <c r="N286" s="80"/>
      <c r="O286" s="80"/>
      <c r="P286" s="80"/>
      <c r="Q286" s="80"/>
      <c r="R286" s="80"/>
      <c r="S286" s="80"/>
      <c r="T286" s="80"/>
      <c r="U286" s="80"/>
      <c r="V286" s="80"/>
      <c r="W286" s="80"/>
      <c r="X286" s="80"/>
      <c r="Y286" s="80"/>
      <c r="Z286" s="80"/>
    </row>
    <row r="287" spans="1:26" x14ac:dyDescent="0.25">
      <c r="A287" s="80"/>
      <c r="B287" s="80"/>
      <c r="C287" s="80"/>
      <c r="D287" s="80"/>
      <c r="E287" s="80"/>
      <c r="F287" s="80"/>
      <c r="G287" s="80"/>
      <c r="H287" s="80"/>
      <c r="I287" s="80"/>
      <c r="J287" s="80"/>
      <c r="K287" s="80"/>
      <c r="L287" s="80"/>
      <c r="M287" s="80"/>
      <c r="N287" s="80"/>
      <c r="O287" s="80"/>
      <c r="P287" s="80"/>
      <c r="Q287" s="80"/>
      <c r="R287" s="80"/>
      <c r="S287" s="80"/>
      <c r="T287" s="80"/>
      <c r="U287" s="80"/>
      <c r="V287" s="80"/>
      <c r="W287" s="80"/>
      <c r="X287" s="80"/>
      <c r="Y287" s="80"/>
      <c r="Z287" s="80"/>
    </row>
    <row r="288" spans="1:26" x14ac:dyDescent="0.25">
      <c r="A288" s="80"/>
      <c r="B288" s="80"/>
      <c r="C288" s="80"/>
      <c r="D288" s="80"/>
      <c r="E288" s="80"/>
      <c r="F288" s="80"/>
      <c r="G288" s="80"/>
      <c r="H288" s="80"/>
      <c r="I288" s="80"/>
      <c r="J288" s="80"/>
      <c r="K288" s="80"/>
      <c r="L288" s="80"/>
      <c r="M288" s="80"/>
      <c r="N288" s="80"/>
      <c r="O288" s="80"/>
      <c r="P288" s="80"/>
      <c r="Q288" s="80"/>
      <c r="R288" s="80"/>
      <c r="S288" s="80"/>
      <c r="T288" s="80"/>
      <c r="U288" s="80"/>
      <c r="V288" s="80"/>
      <c r="W288" s="80"/>
      <c r="X288" s="80"/>
      <c r="Y288" s="80"/>
      <c r="Z288" s="80"/>
    </row>
    <row r="289" spans="1:26" x14ac:dyDescent="0.25">
      <c r="A289" s="80"/>
      <c r="B289" s="80"/>
      <c r="C289" s="80"/>
      <c r="D289" s="80"/>
      <c r="E289" s="80"/>
      <c r="F289" s="80"/>
      <c r="G289" s="80"/>
      <c r="H289" s="80"/>
      <c r="I289" s="80"/>
      <c r="J289" s="80"/>
      <c r="K289" s="80"/>
      <c r="L289" s="80"/>
      <c r="M289" s="80"/>
      <c r="N289" s="80"/>
      <c r="O289" s="80"/>
      <c r="P289" s="80"/>
      <c r="Q289" s="80"/>
      <c r="R289" s="80"/>
      <c r="S289" s="80"/>
      <c r="T289" s="80"/>
      <c r="U289" s="80"/>
      <c r="V289" s="80"/>
      <c r="W289" s="80"/>
      <c r="X289" s="80"/>
      <c r="Y289" s="80"/>
      <c r="Z289" s="80"/>
    </row>
    <row r="290" spans="1:26" x14ac:dyDescent="0.25">
      <c r="A290" s="80"/>
      <c r="B290" s="80"/>
      <c r="C290" s="80"/>
      <c r="D290" s="80"/>
      <c r="E290" s="80"/>
      <c r="F290" s="80"/>
      <c r="G290" s="80"/>
      <c r="H290" s="80"/>
      <c r="I290" s="80"/>
      <c r="J290" s="80"/>
      <c r="K290" s="80"/>
      <c r="L290" s="80"/>
      <c r="M290" s="80"/>
      <c r="N290" s="80"/>
      <c r="O290" s="80"/>
      <c r="P290" s="80"/>
      <c r="Q290" s="80"/>
      <c r="R290" s="80"/>
      <c r="S290" s="80"/>
      <c r="T290" s="80"/>
      <c r="U290" s="80"/>
      <c r="V290" s="80"/>
      <c r="W290" s="80"/>
      <c r="X290" s="80"/>
      <c r="Y290" s="80"/>
      <c r="Z290" s="80"/>
    </row>
    <row r="291" spans="1:26" x14ac:dyDescent="0.25">
      <c r="A291" s="80"/>
      <c r="B291" s="80"/>
      <c r="C291" s="80"/>
      <c r="D291" s="80"/>
      <c r="E291" s="80"/>
      <c r="F291" s="80"/>
      <c r="G291" s="80"/>
      <c r="H291" s="80"/>
      <c r="I291" s="80"/>
      <c r="J291" s="80"/>
      <c r="K291" s="80"/>
      <c r="L291" s="80"/>
      <c r="M291" s="80"/>
      <c r="N291" s="80"/>
      <c r="O291" s="80"/>
      <c r="P291" s="80"/>
      <c r="Q291" s="80"/>
      <c r="R291" s="80"/>
      <c r="S291" s="80"/>
      <c r="T291" s="80"/>
      <c r="U291" s="80"/>
      <c r="V291" s="80"/>
      <c r="W291" s="80"/>
      <c r="X291" s="80"/>
      <c r="Y291" s="80"/>
      <c r="Z291" s="80"/>
    </row>
    <row r="292" spans="1:26" x14ac:dyDescent="0.25">
      <c r="A292" s="80"/>
      <c r="B292" s="80"/>
      <c r="C292" s="80"/>
      <c r="D292" s="80"/>
      <c r="E292" s="80"/>
      <c r="F292" s="80"/>
      <c r="G292" s="80"/>
      <c r="H292" s="80"/>
      <c r="I292" s="80"/>
      <c r="J292" s="80"/>
      <c r="K292" s="80"/>
      <c r="L292" s="80"/>
      <c r="M292" s="80"/>
      <c r="N292" s="80"/>
      <c r="O292" s="80"/>
      <c r="P292" s="80"/>
      <c r="Q292" s="80"/>
      <c r="R292" s="80"/>
      <c r="S292" s="80"/>
      <c r="T292" s="80"/>
      <c r="U292" s="80"/>
      <c r="V292" s="80"/>
      <c r="W292" s="80"/>
      <c r="X292" s="80"/>
      <c r="Y292" s="80"/>
      <c r="Z292" s="80"/>
    </row>
    <row r="293" spans="1:26" x14ac:dyDescent="0.25">
      <c r="A293" s="80"/>
      <c r="B293" s="80"/>
      <c r="C293" s="80"/>
      <c r="D293" s="80"/>
      <c r="E293" s="80"/>
      <c r="F293" s="80"/>
      <c r="G293" s="80"/>
      <c r="H293" s="80"/>
      <c r="I293" s="80"/>
      <c r="J293" s="80"/>
      <c r="K293" s="80"/>
      <c r="L293" s="80"/>
      <c r="M293" s="80"/>
      <c r="N293" s="80"/>
      <c r="O293" s="80"/>
      <c r="P293" s="80"/>
      <c r="Q293" s="80"/>
      <c r="R293" s="80"/>
      <c r="S293" s="80"/>
      <c r="T293" s="80"/>
      <c r="U293" s="80"/>
      <c r="V293" s="80"/>
      <c r="W293" s="80"/>
      <c r="X293" s="80"/>
      <c r="Y293" s="80"/>
      <c r="Z293" s="80"/>
    </row>
    <row r="294" spans="1:26" x14ac:dyDescent="0.25">
      <c r="A294" s="80"/>
      <c r="B294" s="80"/>
      <c r="C294" s="80"/>
      <c r="D294" s="80"/>
      <c r="E294" s="80"/>
      <c r="F294" s="80"/>
      <c r="G294" s="80"/>
      <c r="H294" s="80"/>
      <c r="I294" s="80"/>
      <c r="J294" s="80"/>
      <c r="K294" s="80"/>
      <c r="L294" s="80"/>
      <c r="M294" s="80"/>
      <c r="N294" s="80"/>
      <c r="O294" s="80"/>
      <c r="P294" s="80"/>
      <c r="Q294" s="80"/>
      <c r="R294" s="80"/>
      <c r="S294" s="80"/>
      <c r="T294" s="80"/>
      <c r="U294" s="80"/>
      <c r="V294" s="80"/>
      <c r="W294" s="80"/>
      <c r="X294" s="80"/>
      <c r="Y294" s="80"/>
      <c r="Z294" s="80"/>
    </row>
    <row r="295" spans="1:26" x14ac:dyDescent="0.25">
      <c r="A295" s="80"/>
      <c r="B295" s="80"/>
      <c r="C295" s="80"/>
      <c r="D295" s="80"/>
      <c r="E295" s="80"/>
      <c r="F295" s="80"/>
      <c r="G295" s="80"/>
      <c r="H295" s="80"/>
      <c r="I295" s="80"/>
      <c r="J295" s="80"/>
      <c r="K295" s="80"/>
      <c r="L295" s="80"/>
      <c r="M295" s="80"/>
      <c r="N295" s="80"/>
      <c r="O295" s="80"/>
      <c r="P295" s="80"/>
      <c r="Q295" s="80"/>
      <c r="R295" s="80"/>
      <c r="S295" s="80"/>
      <c r="T295" s="80"/>
      <c r="U295" s="80"/>
      <c r="V295" s="80"/>
      <c r="W295" s="80"/>
      <c r="X295" s="80"/>
      <c r="Y295" s="80"/>
      <c r="Z295" s="80"/>
    </row>
    <row r="296" spans="1:26" x14ac:dyDescent="0.25">
      <c r="A296" s="80"/>
      <c r="B296" s="80"/>
      <c r="C296" s="80"/>
      <c r="D296" s="80"/>
      <c r="E296" s="80"/>
      <c r="F296" s="80"/>
      <c r="G296" s="80"/>
      <c r="H296" s="80"/>
      <c r="I296" s="80"/>
      <c r="J296" s="80"/>
      <c r="K296" s="80"/>
      <c r="L296" s="80"/>
      <c r="M296" s="80"/>
      <c r="N296" s="80"/>
      <c r="O296" s="80"/>
      <c r="P296" s="80"/>
      <c r="Q296" s="80"/>
      <c r="R296" s="80"/>
      <c r="S296" s="80"/>
      <c r="T296" s="80"/>
      <c r="U296" s="80"/>
      <c r="V296" s="80"/>
      <c r="W296" s="80"/>
      <c r="X296" s="80"/>
      <c r="Y296" s="80"/>
      <c r="Z296" s="80"/>
    </row>
    <row r="297" spans="1:26" x14ac:dyDescent="0.25">
      <c r="A297" s="80"/>
      <c r="B297" s="80"/>
      <c r="C297" s="80"/>
      <c r="D297" s="80"/>
      <c r="E297" s="80"/>
      <c r="F297" s="80"/>
      <c r="G297" s="80"/>
      <c r="H297" s="80"/>
      <c r="I297" s="80"/>
      <c r="J297" s="80"/>
      <c r="K297" s="80"/>
      <c r="L297" s="80"/>
      <c r="M297" s="80"/>
      <c r="N297" s="80"/>
      <c r="O297" s="80"/>
      <c r="P297" s="80"/>
      <c r="Q297" s="80"/>
      <c r="R297" s="80"/>
      <c r="S297" s="80"/>
      <c r="T297" s="80"/>
      <c r="U297" s="80"/>
      <c r="V297" s="80"/>
      <c r="W297" s="80"/>
      <c r="X297" s="80"/>
      <c r="Y297" s="80"/>
      <c r="Z297" s="80"/>
    </row>
    <row r="298" spans="1:26" x14ac:dyDescent="0.25">
      <c r="A298" s="80"/>
      <c r="B298" s="80"/>
      <c r="C298" s="80"/>
      <c r="D298" s="80"/>
      <c r="E298" s="80"/>
      <c r="F298" s="80"/>
      <c r="G298" s="80"/>
      <c r="H298" s="80"/>
      <c r="I298" s="80"/>
      <c r="J298" s="80"/>
      <c r="K298" s="80"/>
      <c r="L298" s="80"/>
      <c r="M298" s="80"/>
      <c r="N298" s="80"/>
      <c r="O298" s="80"/>
      <c r="P298" s="80"/>
      <c r="Q298" s="80"/>
      <c r="R298" s="80"/>
      <c r="S298" s="80"/>
      <c r="T298" s="80"/>
      <c r="U298" s="80"/>
      <c r="V298" s="80"/>
      <c r="W298" s="80"/>
      <c r="X298" s="80"/>
      <c r="Y298" s="80"/>
      <c r="Z298" s="80"/>
    </row>
    <row r="299" spans="1:26" x14ac:dyDescent="0.25">
      <c r="A299" s="80"/>
      <c r="B299" s="80"/>
      <c r="C299" s="80"/>
      <c r="D299" s="80"/>
      <c r="E299" s="80"/>
      <c r="F299" s="80"/>
      <c r="G299" s="80"/>
      <c r="H299" s="80"/>
      <c r="I299" s="80"/>
      <c r="J299" s="80"/>
      <c r="K299" s="80"/>
      <c r="L299" s="80"/>
      <c r="M299" s="80"/>
      <c r="N299" s="80"/>
      <c r="O299" s="80"/>
      <c r="P299" s="80"/>
      <c r="Q299" s="80"/>
      <c r="R299" s="80"/>
      <c r="S299" s="80"/>
      <c r="T299" s="80"/>
      <c r="U299" s="80"/>
      <c r="V299" s="80"/>
      <c r="W299" s="80"/>
      <c r="X299" s="80"/>
      <c r="Y299" s="80"/>
      <c r="Z299" s="80"/>
    </row>
    <row r="300" spans="1:26" x14ac:dyDescent="0.25">
      <c r="A300" s="80"/>
      <c r="B300" s="80"/>
      <c r="C300" s="80"/>
      <c r="D300" s="80"/>
      <c r="E300" s="80"/>
      <c r="F300" s="80"/>
      <c r="G300" s="80"/>
      <c r="H300" s="80"/>
      <c r="I300" s="80"/>
      <c r="J300" s="80"/>
      <c r="K300" s="80"/>
      <c r="L300" s="80"/>
      <c r="M300" s="80"/>
      <c r="N300" s="80"/>
      <c r="O300" s="80"/>
      <c r="P300" s="80"/>
      <c r="Q300" s="80"/>
      <c r="R300" s="80"/>
      <c r="S300" s="80"/>
      <c r="T300" s="80"/>
      <c r="U300" s="80"/>
      <c r="V300" s="80"/>
      <c r="W300" s="80"/>
      <c r="X300" s="80"/>
      <c r="Y300" s="80"/>
      <c r="Z300" s="80"/>
    </row>
    <row r="301" spans="1:26" x14ac:dyDescent="0.25">
      <c r="A301" s="80"/>
      <c r="B301" s="80"/>
      <c r="C301" s="80"/>
      <c r="D301" s="80"/>
      <c r="E301" s="80"/>
      <c r="F301" s="80"/>
      <c r="G301" s="80"/>
      <c r="H301" s="80"/>
      <c r="I301" s="80"/>
      <c r="J301" s="80"/>
      <c r="K301" s="80"/>
      <c r="L301" s="80"/>
      <c r="M301" s="80"/>
      <c r="N301" s="80"/>
      <c r="O301" s="80"/>
      <c r="P301" s="80"/>
      <c r="Q301" s="80"/>
      <c r="R301" s="80"/>
      <c r="S301" s="80"/>
      <c r="T301" s="80"/>
      <c r="U301" s="80"/>
      <c r="V301" s="80"/>
      <c r="W301" s="80"/>
      <c r="X301" s="80"/>
      <c r="Y301" s="80"/>
      <c r="Z301" s="80"/>
    </row>
    <row r="302" spans="1:26" x14ac:dyDescent="0.25">
      <c r="A302" s="80"/>
      <c r="B302" s="80"/>
      <c r="C302" s="80"/>
      <c r="D302" s="80"/>
      <c r="E302" s="80"/>
      <c r="F302" s="80"/>
      <c r="G302" s="80"/>
      <c r="H302" s="80"/>
      <c r="I302" s="80"/>
      <c r="J302" s="80"/>
      <c r="K302" s="80"/>
      <c r="L302" s="80"/>
      <c r="M302" s="80"/>
      <c r="N302" s="80"/>
      <c r="O302" s="80"/>
      <c r="P302" s="80"/>
      <c r="Q302" s="80"/>
      <c r="R302" s="80"/>
      <c r="S302" s="80"/>
      <c r="T302" s="80"/>
      <c r="U302" s="80"/>
      <c r="V302" s="80"/>
      <c r="W302" s="80"/>
      <c r="X302" s="80"/>
      <c r="Y302" s="80"/>
      <c r="Z302" s="80"/>
    </row>
    <row r="303" spans="1:26" x14ac:dyDescent="0.25">
      <c r="A303" s="80"/>
      <c r="B303" s="80"/>
      <c r="C303" s="80"/>
      <c r="D303" s="80"/>
      <c r="E303" s="80"/>
      <c r="F303" s="80"/>
      <c r="G303" s="80"/>
      <c r="H303" s="80"/>
      <c r="I303" s="80"/>
      <c r="J303" s="80"/>
      <c r="K303" s="80"/>
      <c r="L303" s="80"/>
      <c r="M303" s="80"/>
      <c r="N303" s="80"/>
      <c r="O303" s="80"/>
      <c r="P303" s="80"/>
      <c r="Q303" s="80"/>
      <c r="R303" s="80"/>
      <c r="S303" s="80"/>
      <c r="T303" s="80"/>
      <c r="U303" s="80"/>
      <c r="V303" s="80"/>
      <c r="W303" s="80"/>
      <c r="X303" s="80"/>
      <c r="Y303" s="80"/>
      <c r="Z303" s="80"/>
    </row>
    <row r="304" spans="1:26" x14ac:dyDescent="0.25">
      <c r="A304" s="80"/>
      <c r="B304" s="80"/>
      <c r="C304" s="80"/>
      <c r="D304" s="80"/>
      <c r="E304" s="80"/>
      <c r="F304" s="80"/>
      <c r="G304" s="80"/>
      <c r="H304" s="80"/>
      <c r="I304" s="80"/>
      <c r="J304" s="80"/>
      <c r="K304" s="80"/>
      <c r="L304" s="80"/>
      <c r="M304" s="80"/>
      <c r="N304" s="80"/>
      <c r="O304" s="80"/>
      <c r="P304" s="80"/>
      <c r="Q304" s="80"/>
      <c r="R304" s="80"/>
      <c r="S304" s="80"/>
      <c r="T304" s="80"/>
      <c r="U304" s="80"/>
      <c r="V304" s="80"/>
      <c r="W304" s="80"/>
      <c r="X304" s="80"/>
      <c r="Y304" s="80"/>
      <c r="Z304" s="80"/>
    </row>
    <row r="305" spans="1:26" x14ac:dyDescent="0.25">
      <c r="A305" s="80"/>
      <c r="B305" s="80"/>
      <c r="C305" s="80"/>
      <c r="D305" s="80"/>
      <c r="E305" s="80"/>
      <c r="F305" s="80"/>
      <c r="G305" s="80"/>
      <c r="H305" s="80"/>
      <c r="I305" s="80"/>
      <c r="J305" s="80"/>
      <c r="K305" s="80"/>
      <c r="L305" s="80"/>
      <c r="M305" s="80"/>
      <c r="N305" s="80"/>
      <c r="O305" s="80"/>
      <c r="P305" s="80"/>
      <c r="Q305" s="80"/>
      <c r="R305" s="80"/>
      <c r="S305" s="80"/>
      <c r="T305" s="80"/>
      <c r="U305" s="80"/>
      <c r="V305" s="80"/>
      <c r="W305" s="80"/>
      <c r="X305" s="80"/>
      <c r="Y305" s="80"/>
      <c r="Z305" s="80"/>
    </row>
    <row r="306" spans="1:26" x14ac:dyDescent="0.25">
      <c r="A306" s="80"/>
      <c r="B306" s="80"/>
      <c r="C306" s="80"/>
      <c r="D306" s="80"/>
      <c r="E306" s="80"/>
      <c r="F306" s="80"/>
      <c r="G306" s="80"/>
      <c r="H306" s="80"/>
      <c r="I306" s="80"/>
      <c r="J306" s="80"/>
      <c r="K306" s="80"/>
      <c r="L306" s="80"/>
      <c r="M306" s="80"/>
      <c r="N306" s="80"/>
      <c r="O306" s="80"/>
      <c r="P306" s="80"/>
      <c r="Q306" s="80"/>
      <c r="R306" s="80"/>
      <c r="S306" s="80"/>
      <c r="T306" s="80"/>
      <c r="U306" s="80"/>
      <c r="V306" s="80"/>
      <c r="W306" s="80"/>
      <c r="X306" s="80"/>
      <c r="Y306" s="80"/>
      <c r="Z306" s="80"/>
    </row>
    <row r="307" spans="1:26" x14ac:dyDescent="0.25">
      <c r="A307" s="80"/>
      <c r="B307" s="80"/>
      <c r="C307" s="80"/>
      <c r="D307" s="80"/>
      <c r="E307" s="80"/>
      <c r="F307" s="80"/>
      <c r="G307" s="80"/>
      <c r="H307" s="80"/>
      <c r="I307" s="80"/>
      <c r="J307" s="80"/>
      <c r="K307" s="80"/>
      <c r="L307" s="80"/>
      <c r="M307" s="80"/>
      <c r="N307" s="80"/>
      <c r="O307" s="80"/>
      <c r="P307" s="80"/>
      <c r="Q307" s="80"/>
      <c r="R307" s="80"/>
      <c r="S307" s="80"/>
      <c r="T307" s="80"/>
      <c r="U307" s="80"/>
      <c r="V307" s="80"/>
      <c r="W307" s="80"/>
      <c r="X307" s="80"/>
      <c r="Y307" s="80"/>
      <c r="Z307" s="80"/>
    </row>
    <row r="308" spans="1:26" x14ac:dyDescent="0.25">
      <c r="A308" s="80"/>
      <c r="B308" s="80"/>
      <c r="C308" s="80"/>
      <c r="D308" s="80"/>
      <c r="E308" s="80"/>
      <c r="F308" s="80"/>
      <c r="G308" s="80"/>
      <c r="H308" s="80"/>
      <c r="I308" s="80"/>
      <c r="J308" s="80"/>
      <c r="K308" s="80"/>
      <c r="L308" s="80"/>
      <c r="M308" s="80"/>
      <c r="N308" s="80"/>
      <c r="O308" s="80"/>
      <c r="P308" s="80"/>
      <c r="Q308" s="80"/>
      <c r="R308" s="80"/>
      <c r="S308" s="80"/>
      <c r="T308" s="80"/>
      <c r="U308" s="80"/>
      <c r="V308" s="80"/>
      <c r="W308" s="80"/>
      <c r="X308" s="80"/>
      <c r="Y308" s="80"/>
      <c r="Z308" s="80"/>
    </row>
  </sheetData>
  <sheetProtection algorithmName="SHA-512" hashValue="rxQrML06jgdFEzup/p8Se1ObhDqjCm83AoluaBoitkot5HtKBNceqtimLnZ5EBbY6DquEuaDrRkW6scUz1e/eg==" saltValue="GNPb99/MK9kYzP7VMa8ryQ==" spinCount="100000" sheet="1" objects="1" scenarios="1"/>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EF952E3-F911-4184-B377-E38E7DE7DE7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17</vt:i4>
      </vt:variant>
    </vt:vector>
  </HeadingPairs>
  <TitlesOfParts>
    <vt:vector size="30" baseType="lpstr">
      <vt:lpstr>Introduction</vt:lpstr>
      <vt:lpstr>Company Info, Intended Activity</vt:lpstr>
      <vt:lpstr>Ownership, SOF</vt:lpstr>
      <vt:lpstr>Representatives and Acc. Users</vt:lpstr>
      <vt:lpstr>Bank Accounts</vt:lpstr>
      <vt:lpstr>Country List</vt:lpstr>
      <vt:lpstr>US State List</vt:lpstr>
      <vt:lpstr>Nationality List</vt:lpstr>
      <vt:lpstr>FieldValidation</vt:lpstr>
      <vt:lpstr>Sanctions and AML Information</vt:lpstr>
      <vt:lpstr>Entity and Documents Def</vt:lpstr>
      <vt:lpstr>AML Policy</vt:lpstr>
      <vt:lpstr>Export</vt:lpstr>
      <vt:lpstr>GE</vt:lpstr>
      <vt:lpstr>ICO</vt:lpstr>
      <vt:lpstr>KPS</vt:lpstr>
      <vt:lpstr>LEGALL</vt:lpstr>
      <vt:lpstr>LEGGE</vt:lpstr>
      <vt:lpstr>LEGTRUST</vt:lpstr>
      <vt:lpstr>MCNO</vt:lpstr>
      <vt:lpstr>MSBMST</vt:lpstr>
      <vt:lpstr>OC</vt:lpstr>
      <vt:lpstr>PIF</vt:lpstr>
      <vt:lpstr>PIV</vt:lpstr>
      <vt:lpstr>PSP</vt:lpstr>
      <vt:lpstr>PTC</vt:lpstr>
      <vt:lpstr>PTF</vt:lpstr>
      <vt:lpstr>RE</vt:lpstr>
      <vt:lpstr>TEONP</vt:lpstr>
      <vt:lpstr>TRUST</vt:lpstr>
    </vt:vector>
  </TitlesOfParts>
  <Company>Bitstamp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subject>Questionnaire</dc:subject>
  <dc:creator>Bitstamp Team</dc:creator>
  <cp:lastModifiedBy>Tomaž Medved</cp:lastModifiedBy>
  <dcterms:created xsi:type="dcterms:W3CDTF">2020-06-01T13:10:17Z</dcterms:created>
  <dcterms:modified xsi:type="dcterms:W3CDTF">2023-06-13T07:57:52Z</dcterms:modified>
  <cp:category>Corporate Onboarding</cp:category>
  <cp:contentStatus>00001</cp:contentStatus>
</cp:coreProperties>
</file>